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nexte-my.sharepoint.com/personal/andrei_ionita_mynexte_com/Documents/Desktop/"/>
    </mc:Choice>
  </mc:AlternateContent>
  <xr:revisionPtr revIDLastSave="5867" documentId="8_{EE845C33-CEA2-49E0-98BC-47DEBF732C4B}" xr6:coauthVersionLast="47" xr6:coauthVersionMax="47" xr10:uidLastSave="{376D510F-0160-47B1-8BD2-DF68B7FC02ED}"/>
  <bookViews>
    <workbookView xWindow="-120" yWindow="-120" windowWidth="29040" windowHeight="15720" xr2:uid="{00000000-000D-0000-FFFF-FFFF00000000}"/>
  </bookViews>
  <sheets>
    <sheet name="Data" sheetId="3" r:id="rId1"/>
    <sheet name="GetWeatherSiteForecast" sheetId="1" r:id="rId2"/>
  </sheets>
  <definedNames>
    <definedName name="_xlnm._FilterDatabase" localSheetId="1" hidden="1">GetWeatherSiteForecast!$A$1:$Q$169</definedName>
  </definedNames>
  <calcPr calcId="191029"/>
  <pivotCaches>
    <pivotCache cacheId="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86" i="1" l="1"/>
  <c r="P86" i="1"/>
  <c r="Q86" i="1"/>
  <c r="O87" i="1"/>
  <c r="P87" i="1"/>
  <c r="Q87" i="1"/>
  <c r="O88" i="1"/>
  <c r="P88" i="1"/>
  <c r="Q88" i="1"/>
  <c r="O89" i="1"/>
  <c r="P89" i="1"/>
  <c r="Q89" i="1"/>
  <c r="O90" i="1"/>
  <c r="P90" i="1"/>
  <c r="Q90" i="1"/>
  <c r="O91" i="1"/>
  <c r="P91" i="1"/>
  <c r="Q91" i="1"/>
  <c r="O92" i="1"/>
  <c r="P92" i="1"/>
  <c r="Q92" i="1"/>
  <c r="O93" i="1"/>
  <c r="P93" i="1"/>
  <c r="Q93" i="1"/>
  <c r="O94" i="1"/>
  <c r="P94" i="1"/>
  <c r="Q94" i="1"/>
  <c r="O95" i="1"/>
  <c r="P95" i="1"/>
  <c r="Q95" i="1"/>
  <c r="O96" i="1"/>
  <c r="P96" i="1"/>
  <c r="Q96" i="1"/>
  <c r="O97" i="1"/>
  <c r="P97" i="1"/>
  <c r="Q97" i="1"/>
  <c r="O98" i="1"/>
  <c r="P98" i="1"/>
  <c r="Q98" i="1"/>
  <c r="O99" i="1"/>
  <c r="P99" i="1"/>
  <c r="Q99" i="1"/>
  <c r="O100" i="1"/>
  <c r="P100" i="1"/>
  <c r="Q100" i="1"/>
  <c r="O101" i="1"/>
  <c r="P101" i="1"/>
  <c r="Q101" i="1"/>
  <c r="O102" i="1"/>
  <c r="P102" i="1"/>
  <c r="Q102" i="1"/>
  <c r="O103" i="1"/>
  <c r="P103" i="1"/>
  <c r="Q103" i="1"/>
  <c r="O104" i="1"/>
  <c r="P104" i="1"/>
  <c r="Q104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O110" i="1"/>
  <c r="P110" i="1"/>
  <c r="Q110" i="1"/>
  <c r="O111" i="1"/>
  <c r="P111" i="1"/>
  <c r="Q111" i="1"/>
  <c r="O112" i="1"/>
  <c r="P112" i="1"/>
  <c r="Q112" i="1"/>
  <c r="O113" i="1"/>
  <c r="P113" i="1"/>
  <c r="Q113" i="1"/>
  <c r="O114" i="1"/>
  <c r="P114" i="1"/>
  <c r="Q114" i="1"/>
  <c r="O115" i="1"/>
  <c r="P115" i="1"/>
  <c r="Q115" i="1"/>
  <c r="O116" i="1"/>
  <c r="P116" i="1"/>
  <c r="Q116" i="1"/>
  <c r="O117" i="1"/>
  <c r="P117" i="1"/>
  <c r="Q117" i="1"/>
  <c r="O118" i="1"/>
  <c r="P118" i="1"/>
  <c r="Q118" i="1"/>
  <c r="O119" i="1"/>
  <c r="P119" i="1"/>
  <c r="Q119" i="1"/>
  <c r="O120" i="1"/>
  <c r="P120" i="1"/>
  <c r="Q120" i="1"/>
  <c r="O121" i="1"/>
  <c r="P121" i="1"/>
  <c r="Q121" i="1"/>
  <c r="O122" i="1"/>
  <c r="P122" i="1"/>
  <c r="Q122" i="1"/>
  <c r="O123" i="1"/>
  <c r="P123" i="1"/>
  <c r="Q123" i="1"/>
  <c r="O124" i="1"/>
  <c r="P124" i="1"/>
  <c r="Q124" i="1"/>
  <c r="O125" i="1"/>
  <c r="P125" i="1"/>
  <c r="Q125" i="1"/>
  <c r="O126" i="1"/>
  <c r="P126" i="1"/>
  <c r="Q126" i="1"/>
  <c r="O127" i="1"/>
  <c r="P127" i="1"/>
  <c r="Q127" i="1"/>
  <c r="O128" i="1"/>
  <c r="P128" i="1"/>
  <c r="Q128" i="1"/>
  <c r="O129" i="1"/>
  <c r="P129" i="1"/>
  <c r="Q129" i="1"/>
  <c r="O130" i="1"/>
  <c r="P130" i="1"/>
  <c r="Q130" i="1"/>
  <c r="O131" i="1"/>
  <c r="P131" i="1"/>
  <c r="Q131" i="1"/>
  <c r="O132" i="1"/>
  <c r="P132" i="1"/>
  <c r="Q132" i="1"/>
  <c r="O133" i="1"/>
  <c r="P133" i="1"/>
  <c r="Q133" i="1"/>
  <c r="O134" i="1"/>
  <c r="P134" i="1"/>
  <c r="Q134" i="1"/>
  <c r="O135" i="1"/>
  <c r="P135" i="1"/>
  <c r="Q135" i="1"/>
  <c r="O136" i="1"/>
  <c r="P136" i="1"/>
  <c r="Q136" i="1"/>
  <c r="O137" i="1"/>
  <c r="P137" i="1"/>
  <c r="Q137" i="1"/>
  <c r="O138" i="1"/>
  <c r="P138" i="1"/>
  <c r="Q138" i="1"/>
  <c r="O139" i="1"/>
  <c r="P139" i="1"/>
  <c r="Q139" i="1"/>
  <c r="O140" i="1"/>
  <c r="P140" i="1"/>
  <c r="Q140" i="1"/>
  <c r="O141" i="1"/>
  <c r="P141" i="1"/>
  <c r="Q141" i="1"/>
  <c r="O142" i="1"/>
  <c r="P142" i="1"/>
  <c r="Q142" i="1"/>
  <c r="O143" i="1"/>
  <c r="P143" i="1"/>
  <c r="Q143" i="1"/>
  <c r="O144" i="1"/>
  <c r="P144" i="1"/>
  <c r="Q144" i="1"/>
  <c r="O145" i="1"/>
  <c r="P145" i="1"/>
  <c r="Q145" i="1"/>
  <c r="O146" i="1"/>
  <c r="P146" i="1"/>
  <c r="Q146" i="1"/>
  <c r="O147" i="1"/>
  <c r="P147" i="1"/>
  <c r="Q147" i="1"/>
  <c r="O148" i="1"/>
  <c r="P148" i="1"/>
  <c r="Q148" i="1"/>
  <c r="O149" i="1"/>
  <c r="P149" i="1"/>
  <c r="Q149" i="1"/>
  <c r="O150" i="1"/>
  <c r="P150" i="1"/>
  <c r="Q150" i="1"/>
  <c r="O151" i="1"/>
  <c r="P151" i="1"/>
  <c r="Q151" i="1"/>
  <c r="O152" i="1"/>
  <c r="P152" i="1"/>
  <c r="Q152" i="1"/>
  <c r="O153" i="1"/>
  <c r="P153" i="1"/>
  <c r="Q153" i="1"/>
  <c r="O154" i="1"/>
  <c r="P154" i="1"/>
  <c r="Q154" i="1"/>
  <c r="O155" i="1"/>
  <c r="P155" i="1"/>
  <c r="Q155" i="1"/>
  <c r="O156" i="1"/>
  <c r="P156" i="1"/>
  <c r="Q156" i="1"/>
  <c r="O157" i="1"/>
  <c r="P157" i="1"/>
  <c r="Q157" i="1"/>
  <c r="O158" i="1"/>
  <c r="P158" i="1"/>
  <c r="Q158" i="1"/>
  <c r="O159" i="1"/>
  <c r="P159" i="1"/>
  <c r="Q159" i="1"/>
  <c r="O160" i="1"/>
  <c r="P160" i="1"/>
  <c r="Q160" i="1"/>
  <c r="O161" i="1"/>
  <c r="P161" i="1"/>
  <c r="Q161" i="1"/>
  <c r="O162" i="1"/>
  <c r="P162" i="1"/>
  <c r="Q162" i="1"/>
  <c r="O163" i="1"/>
  <c r="P163" i="1"/>
  <c r="Q163" i="1"/>
  <c r="O164" i="1"/>
  <c r="P164" i="1"/>
  <c r="Q164" i="1"/>
  <c r="O165" i="1"/>
  <c r="P165" i="1"/>
  <c r="Q165" i="1"/>
  <c r="O166" i="1"/>
  <c r="P166" i="1"/>
  <c r="Q166" i="1"/>
  <c r="O167" i="1"/>
  <c r="P167" i="1"/>
  <c r="Q167" i="1"/>
  <c r="O168" i="1"/>
  <c r="P168" i="1"/>
  <c r="Q168" i="1"/>
  <c r="O169" i="1"/>
  <c r="P169" i="1"/>
  <c r="Q169" i="1"/>
  <c r="O44" i="1"/>
  <c r="P44" i="1"/>
  <c r="Q44" i="1"/>
  <c r="O45" i="1"/>
  <c r="P45" i="1"/>
  <c r="Q45" i="1"/>
  <c r="O46" i="1"/>
  <c r="P46" i="1"/>
  <c r="Q46" i="1"/>
  <c r="O47" i="1"/>
  <c r="P47" i="1"/>
  <c r="Q47" i="1"/>
  <c r="O48" i="1"/>
  <c r="P48" i="1"/>
  <c r="Q48" i="1"/>
  <c r="O49" i="1"/>
  <c r="P49" i="1"/>
  <c r="Q49" i="1"/>
  <c r="O50" i="1"/>
  <c r="P50" i="1"/>
  <c r="Q50" i="1"/>
  <c r="O51" i="1"/>
  <c r="P51" i="1"/>
  <c r="Q51" i="1"/>
  <c r="O52" i="1"/>
  <c r="P52" i="1"/>
  <c r="Q52" i="1"/>
  <c r="O53" i="1"/>
  <c r="P53" i="1"/>
  <c r="Q53" i="1"/>
  <c r="O54" i="1"/>
  <c r="P54" i="1"/>
  <c r="Q54" i="1"/>
  <c r="O55" i="1"/>
  <c r="P55" i="1"/>
  <c r="Q55" i="1"/>
  <c r="O56" i="1"/>
  <c r="P56" i="1"/>
  <c r="Q56" i="1"/>
  <c r="O57" i="1"/>
  <c r="P57" i="1"/>
  <c r="Q57" i="1"/>
  <c r="O58" i="1"/>
  <c r="P58" i="1"/>
  <c r="Q58" i="1"/>
  <c r="O59" i="1"/>
  <c r="P59" i="1"/>
  <c r="Q59" i="1"/>
  <c r="O60" i="1"/>
  <c r="P60" i="1"/>
  <c r="Q60" i="1"/>
  <c r="O61" i="1"/>
  <c r="P61" i="1"/>
  <c r="Q61" i="1"/>
  <c r="O62" i="1"/>
  <c r="P62" i="1"/>
  <c r="Q62" i="1"/>
  <c r="O63" i="1"/>
  <c r="P63" i="1"/>
  <c r="Q63" i="1"/>
  <c r="O64" i="1"/>
  <c r="P64" i="1"/>
  <c r="Q64" i="1"/>
  <c r="O65" i="1"/>
  <c r="P65" i="1"/>
  <c r="Q65" i="1"/>
  <c r="O66" i="1"/>
  <c r="P66" i="1"/>
  <c r="Q66" i="1"/>
  <c r="O67" i="1"/>
  <c r="P67" i="1"/>
  <c r="Q67" i="1"/>
  <c r="O68" i="1"/>
  <c r="P68" i="1"/>
  <c r="Q68" i="1"/>
  <c r="O69" i="1"/>
  <c r="P69" i="1"/>
  <c r="Q69" i="1"/>
  <c r="O70" i="1"/>
  <c r="P70" i="1"/>
  <c r="Q70" i="1"/>
  <c r="O71" i="1"/>
  <c r="P71" i="1"/>
  <c r="Q71" i="1"/>
  <c r="O72" i="1"/>
  <c r="P72" i="1"/>
  <c r="Q72" i="1"/>
  <c r="O73" i="1"/>
  <c r="P73" i="1"/>
  <c r="Q73" i="1"/>
  <c r="O74" i="1"/>
  <c r="P74" i="1"/>
  <c r="Q74" i="1"/>
  <c r="O75" i="1"/>
  <c r="P75" i="1"/>
  <c r="Q75" i="1"/>
  <c r="O76" i="1"/>
  <c r="P76" i="1"/>
  <c r="Q76" i="1"/>
  <c r="O77" i="1"/>
  <c r="P77" i="1"/>
  <c r="Q77" i="1"/>
  <c r="O78" i="1"/>
  <c r="P78" i="1"/>
  <c r="Q78" i="1"/>
  <c r="O79" i="1"/>
  <c r="P79" i="1"/>
  <c r="Q79" i="1"/>
  <c r="O80" i="1"/>
  <c r="P80" i="1"/>
  <c r="Q80" i="1"/>
  <c r="O81" i="1"/>
  <c r="P81" i="1"/>
  <c r="Q81" i="1"/>
  <c r="O82" i="1"/>
  <c r="P82" i="1"/>
  <c r="Q82" i="1"/>
  <c r="O83" i="1"/>
  <c r="P83" i="1"/>
  <c r="Q83" i="1"/>
  <c r="O84" i="1"/>
  <c r="P84" i="1"/>
  <c r="Q84" i="1"/>
  <c r="O85" i="1"/>
  <c r="P85" i="1"/>
  <c r="Q85" i="1"/>
  <c r="O23" i="1"/>
  <c r="P23" i="1"/>
  <c r="Q23" i="1"/>
  <c r="O24" i="1"/>
  <c r="P24" i="1"/>
  <c r="Q24" i="1"/>
  <c r="O25" i="1"/>
  <c r="P25" i="1"/>
  <c r="Q25" i="1"/>
  <c r="O26" i="1"/>
  <c r="P26" i="1"/>
  <c r="Q26" i="1"/>
  <c r="O27" i="1"/>
  <c r="P27" i="1"/>
  <c r="Q27" i="1"/>
  <c r="O28" i="1"/>
  <c r="P28" i="1"/>
  <c r="Q28" i="1"/>
  <c r="O29" i="1"/>
  <c r="P29" i="1"/>
  <c r="Q29" i="1"/>
  <c r="O30" i="1"/>
  <c r="P30" i="1"/>
  <c r="Q30" i="1"/>
  <c r="O31" i="1"/>
  <c r="P31" i="1"/>
  <c r="Q31" i="1"/>
  <c r="O32" i="1"/>
  <c r="P32" i="1"/>
  <c r="Q32" i="1"/>
  <c r="O33" i="1"/>
  <c r="P33" i="1"/>
  <c r="Q33" i="1"/>
  <c r="O34" i="1"/>
  <c r="P34" i="1"/>
  <c r="Q34" i="1"/>
  <c r="O35" i="1"/>
  <c r="P35" i="1"/>
  <c r="Q35" i="1"/>
  <c r="O36" i="1"/>
  <c r="P36" i="1"/>
  <c r="Q36" i="1"/>
  <c r="O37" i="1"/>
  <c r="P37" i="1"/>
  <c r="Q37" i="1"/>
  <c r="O38" i="1"/>
  <c r="P38" i="1"/>
  <c r="Q38" i="1"/>
  <c r="O39" i="1"/>
  <c r="P39" i="1"/>
  <c r="Q39" i="1"/>
  <c r="O40" i="1"/>
  <c r="P40" i="1"/>
  <c r="Q40" i="1"/>
  <c r="O41" i="1"/>
  <c r="P41" i="1"/>
  <c r="Q41" i="1"/>
  <c r="O42" i="1"/>
  <c r="P42" i="1"/>
  <c r="Q42" i="1"/>
  <c r="O43" i="1"/>
  <c r="P43" i="1"/>
  <c r="Q43" i="1"/>
  <c r="O12" i="1"/>
  <c r="P12" i="1"/>
  <c r="Q12" i="1"/>
  <c r="O13" i="1"/>
  <c r="P13" i="1"/>
  <c r="Q13" i="1"/>
  <c r="O14" i="1"/>
  <c r="P14" i="1"/>
  <c r="Q14" i="1"/>
  <c r="O15" i="1"/>
  <c r="P15" i="1"/>
  <c r="Q15" i="1"/>
  <c r="O16" i="1"/>
  <c r="P16" i="1"/>
  <c r="Q16" i="1"/>
  <c r="O17" i="1"/>
  <c r="P17" i="1"/>
  <c r="Q17" i="1"/>
  <c r="O18" i="1"/>
  <c r="P18" i="1"/>
  <c r="Q18" i="1"/>
  <c r="O19" i="1"/>
  <c r="P19" i="1"/>
  <c r="Q19" i="1"/>
  <c r="O20" i="1"/>
  <c r="P20" i="1"/>
  <c r="Q20" i="1"/>
  <c r="O21" i="1"/>
  <c r="P21" i="1"/>
  <c r="Q21" i="1"/>
  <c r="O22" i="1"/>
  <c r="P22" i="1"/>
  <c r="Q22" i="1"/>
  <c r="O7" i="1"/>
  <c r="P7" i="1"/>
  <c r="Q7" i="1"/>
  <c r="O8" i="1"/>
  <c r="P8" i="1"/>
  <c r="Q8" i="1"/>
  <c r="O9" i="1"/>
  <c r="P9" i="1"/>
  <c r="Q9" i="1"/>
  <c r="O10" i="1"/>
  <c r="P10" i="1"/>
  <c r="Q10" i="1"/>
  <c r="O11" i="1"/>
  <c r="P11" i="1"/>
  <c r="Q11" i="1"/>
  <c r="O4" i="1"/>
  <c r="P4" i="1"/>
  <c r="Q4" i="1"/>
  <c r="O5" i="1"/>
  <c r="P5" i="1"/>
  <c r="Q5" i="1"/>
  <c r="O6" i="1"/>
  <c r="P6" i="1"/>
  <c r="Q6" i="1"/>
  <c r="O3" i="1"/>
  <c r="P3" i="1"/>
  <c r="Q3" i="1"/>
  <c r="O2" i="1"/>
  <c r="P2" i="1"/>
  <c r="Q2" i="1"/>
</calcChain>
</file>

<file path=xl/sharedStrings.xml><?xml version="1.0" encoding="utf-8"?>
<sst xmlns="http://schemas.openxmlformats.org/spreadsheetml/2006/main" count="193" uniqueCount="23">
  <si>
    <t>air_temp</t>
  </si>
  <si>
    <t>cloud_opacity</t>
  </si>
  <si>
    <t>period_end</t>
  </si>
  <si>
    <t>PT30M</t>
  </si>
  <si>
    <t>Data</t>
  </si>
  <si>
    <t>Interval</t>
  </si>
  <si>
    <t>(blank)</t>
  </si>
  <si>
    <t>Minute</t>
  </si>
  <si>
    <t>Average of air_temp</t>
  </si>
  <si>
    <t>Average of cloud_opacity</t>
  </si>
  <si>
    <t>ghi90</t>
  </si>
  <si>
    <t>ghi10</t>
  </si>
  <si>
    <t>ebh</t>
  </si>
  <si>
    <t>dni</t>
  </si>
  <si>
    <t>dni90</t>
  </si>
  <si>
    <t>dni10</t>
  </si>
  <si>
    <t>dhi</t>
  </si>
  <si>
    <t>zenith</t>
  </si>
  <si>
    <t>azimuth</t>
  </si>
  <si>
    <t>period</t>
  </si>
  <si>
    <t xml:space="preserve"> </t>
  </si>
  <si>
    <t>Average of ghi</t>
  </si>
  <si>
    <t>ghi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</si>
</sst>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22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</xdr:colOff>
      <xdr:row>1</xdr:row>
      <xdr:rowOff>171450</xdr:rowOff>
    </xdr:from>
    <xdr:to>
      <xdr:col>7</xdr:col>
      <xdr:colOff>186690</xdr:colOff>
      <xdr:row>8</xdr:row>
      <xdr:rowOff>34290</xdr:rowOff>
    </xdr:to>
    <xdr:pic macro="[0]!Weather_Forecast_data_eng">
      <xdr:nvPicPr>
        <xdr:cNvPr id="15" name="Graphic 14" descr="Programmer male with solid fill">
          <a:extLst>
            <a:ext uri="{FF2B5EF4-FFF2-40B4-BE49-F238E27FC236}">
              <a16:creationId xmlns:a16="http://schemas.microsoft.com/office/drawing/2014/main" id="{3B79C3CC-D9B6-9F43-6ADD-74DF17E5F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38900" y="361950"/>
          <a:ext cx="1171575" cy="1171575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1</xdr:row>
      <xdr:rowOff>161925</xdr:rowOff>
    </xdr:from>
    <xdr:to>
      <xdr:col>9</xdr:col>
      <xdr:colOff>605790</xdr:colOff>
      <xdr:row>8</xdr:row>
      <xdr:rowOff>0</xdr:rowOff>
    </xdr:to>
    <xdr:pic macro="[0]!Production_Forecast_Transavia">
      <xdr:nvPicPr>
        <xdr:cNvPr id="16" name="Graphic 15" descr="Programmer male with solid fill">
          <a:extLst>
            <a:ext uri="{FF2B5EF4-FFF2-40B4-BE49-F238E27FC236}">
              <a16:creationId xmlns:a16="http://schemas.microsoft.com/office/drawing/2014/main" id="{19F427E2-B5F6-4B19-90B4-BD047EC27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86725" y="352425"/>
          <a:ext cx="1171575" cy="11715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i Ionita" refreshedDate="45343.552229629633" createdVersion="8" refreshedVersion="8" minRefreshableVersion="3" recordCount="338" xr:uid="{A0CBCFE9-06CE-4C57-A7D3-6263C2282410}">
  <cacheSource type="worksheet">
    <worksheetSource ref="A1:Q1048576" sheet="GetWeatherSiteForecast"/>
  </cacheSource>
  <cacheFields count="17">
    <cacheField name="ghi" numFmtId="0">
      <sharedItems containsString="0" containsBlank="1" containsNumber="1" containsInteger="1" minValue="0" maxValue="602"/>
    </cacheField>
    <cacheField name="ghi90" numFmtId="0">
      <sharedItems containsString="0" containsBlank="1" containsNumber="1" containsInteger="1" minValue="0" maxValue="602"/>
    </cacheField>
    <cacheField name="ghi10" numFmtId="0">
      <sharedItems containsString="0" containsBlank="1" containsNumber="1" containsInteger="1" minValue="0" maxValue="269"/>
    </cacheField>
    <cacheField name="ebh" numFmtId="0">
      <sharedItems containsString="0" containsBlank="1" containsNumber="1" containsInteger="1" minValue="0" maxValue="495"/>
    </cacheField>
    <cacheField name="dni" numFmtId="0">
      <sharedItems containsString="0" containsBlank="1" containsNumber="1" containsInteger="1" minValue="0" maxValue="871"/>
    </cacheField>
    <cacheField name="dni90" numFmtId="0">
      <sharedItems containsString="0" containsBlank="1" containsNumber="1" containsInteger="1" minValue="0" maxValue="889"/>
    </cacheField>
    <cacheField name="dni10" numFmtId="0">
      <sharedItems containsString="0" containsBlank="1" containsNumber="1" containsInteger="1" minValue="0" maxValue="81"/>
    </cacheField>
    <cacheField name="dhi" numFmtId="0">
      <sharedItems containsString="0" containsBlank="1" containsNumber="1" containsInteger="1" minValue="0" maxValue="245"/>
    </cacheField>
    <cacheField name="air_temp" numFmtId="0">
      <sharedItems containsString="0" containsBlank="1" containsNumber="1" containsInteger="1" minValue="1" maxValue="14"/>
    </cacheField>
    <cacheField name="zenith" numFmtId="0">
      <sharedItems containsString="0" containsBlank="1" containsNumber="1" containsInteger="1" minValue="55" maxValue="145"/>
    </cacheField>
    <cacheField name="azimuth" numFmtId="0">
      <sharedItems containsString="0" containsBlank="1" containsNumber="1" containsInteger="1" minValue="-164" maxValue="178"/>
    </cacheField>
    <cacheField name="cloud_opacity" numFmtId="0">
      <sharedItems containsString="0" containsBlank="1" containsNumber="1" containsInteger="1" minValue="0" maxValue="81"/>
    </cacheField>
    <cacheField name="period_end" numFmtId="0">
      <sharedItems containsDate="1" containsString="0" containsBlank="1" containsMixedTypes="1" minDate="2024-02-21T12:00:00" maxDate="2024-02-28T11:00:00"/>
    </cacheField>
    <cacheField name="period" numFmtId="0">
      <sharedItems containsBlank="1"/>
    </cacheField>
    <cacheField name="Data" numFmtId="0">
      <sharedItems containsNonDate="0" containsDate="1" containsString="0" containsBlank="1" minDate="2023-05-26T00:00:00" maxDate="2024-02-29T00:00:00" count="248"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m/>
        <d v="2024-02-16T00:00:00" u="1"/>
        <d v="2024-02-17T00:00:00" u="1"/>
        <d v="2024-02-18T00:00:00" u="1"/>
        <d v="2024-02-19T00:00:00" u="1"/>
        <d v="2024-02-20T00:00:00" u="1"/>
        <d v="2024-02-14T00:00:00" u="1"/>
        <d v="2024-02-15T00:00:00" u="1"/>
        <d v="2024-02-12T00:00:00" u="1"/>
        <d v="2024-02-13T00:00:00" u="1"/>
        <d v="2024-02-09T00:00:00" u="1"/>
        <d v="2024-02-10T00:00:00" u="1"/>
        <d v="2024-02-11T00:00:00" u="1"/>
        <d v="2024-02-08T00:00:00" u="1"/>
        <d v="2024-02-06T00:00:00" u="1"/>
        <d v="2024-02-07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3-12-22T00:00:00" u="1"/>
        <d v="2023-12-23T00:00:00" u="1"/>
        <d v="2023-12-24T00:00:00" u="1"/>
        <d v="2023-12-19T00:00:00" u="1"/>
        <d v="2023-12-20T00:00:00" u="1"/>
        <d v="2023-12-21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04T00:00:00" u="1"/>
        <d v="2023-12-05T00:00:00" u="1"/>
        <d v="2023-12-06T00:00:00" u="1"/>
        <d v="2023-12-07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1-23T00:00:00" u="1"/>
        <d v="2023-11-20T00:00:00" u="1"/>
        <d v="2023-11-21T00:00:00" u="1"/>
        <d v="2023-11-22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09T00:00:00" u="1"/>
        <d v="2023-11-10T00:00:00" u="1"/>
        <d v="2023-11-11T00:00:00" u="1"/>
        <d v="2023-11-12T00:00:00" u="1"/>
        <d v="2023-11-13T00:00:00" u="1"/>
        <d v="2023-11-06T00:00:00" u="1"/>
        <d v="2023-11-07T00:00:00" u="1"/>
        <d v="2023-11-08T00:00:00" u="1"/>
        <d v="2023-11-05T00:00:00" u="1"/>
        <d v="2023-10-31T00:00:00" u="1"/>
        <d v="2023-11-01T00:00:00" u="1"/>
        <d v="2023-11-02T00:00:00" u="1"/>
        <d v="2023-11-03T00:00:00" u="1"/>
        <d v="2023-11-04T00:00:00" u="1"/>
        <d v="2023-10-30T00:00:00" u="1"/>
        <d v="2023-10-27T00:00:00" u="1"/>
        <d v="2023-10-28T00:00:00" u="1"/>
        <d v="2023-10-29T00:00:00" u="1"/>
        <d v="2023-10-24T00:00:00" u="1"/>
        <d v="2023-10-25T00:00:00" u="1"/>
        <d v="2023-10-26T00:00:00" u="1"/>
        <d v="2023-10-20T00:00:00" u="1"/>
        <d v="2023-10-21T00:00:00" u="1"/>
        <d v="2023-10-22T00:00:00" u="1"/>
        <d v="2023-10-23T00:00:00" u="1"/>
        <d v="2023-10-19T00:00:00" u="1"/>
        <d v="2023-10-18T00:00:00" u="1"/>
        <d v="2023-10-17T00:00:00" u="1"/>
        <d v="2023-10-16T00:00:00" u="1"/>
        <d v="2023-10-13T00:00:00" u="1"/>
        <d v="2023-10-14T00:00:00" u="1"/>
        <d v="2023-10-15T00:00:00" u="1"/>
        <d v="2023-10-12T00:00:00" u="1"/>
        <d v="2023-10-11T00:00:00" u="1"/>
        <d v="2023-10-10T00:00:00" u="1"/>
        <d v="2023-10-09T00:00:00" u="1"/>
        <d v="2023-10-06T00:00:00" u="1"/>
        <d v="2023-10-07T00:00:00" u="1"/>
        <d v="2023-10-08T00:00:00" u="1"/>
        <d v="2023-10-05T00:00:00" u="1"/>
        <d v="2023-10-04T00:00:00" u="1"/>
        <d v="2023-10-03T00:00:00" u="1"/>
        <d v="2023-10-02T00:00:00" u="1"/>
        <d v="2023-10-01T00:00:00" u="1"/>
        <d v="2023-09-27T00:00:00" u="1"/>
        <d v="2023-09-28T00:00:00" u="1"/>
        <d v="2023-09-29T00:00:00" u="1"/>
        <d v="2023-09-30T00:00:00" u="1"/>
        <d v="2023-09-26T00:00:00" u="1"/>
        <d v="2023-09-25T00:00:00" u="1"/>
        <d v="2023-09-23T00:00:00" u="1"/>
        <d v="2023-09-24T00:00:00" u="1"/>
        <d v="2023-09-22T00:00:00" u="1"/>
        <d v="2023-09-21T00:00:00" u="1"/>
        <d v="2023-09-20T00:00:00" u="1"/>
        <d v="2023-09-19T00:00:00" u="1"/>
        <d v="2023-09-18T00:00:00" u="1"/>
        <d v="2023-09-16T00:00:00" u="1"/>
        <d v="2023-09-17T00:00:00" u="1"/>
        <d v="2023-09-15T00:00:00" u="1"/>
        <d v="2023-09-14T00:00:00" u="1"/>
        <d v="2023-09-13T00:00:00" u="1"/>
        <d v="2023-09-12T00:00:00" u="1"/>
        <d v="2023-09-11T00:00:00" u="1"/>
        <d v="2023-09-08T00:00:00" u="1"/>
        <d v="2023-09-09T00:00:00" u="1"/>
        <d v="2023-09-10T00:00:00" u="1"/>
        <d v="2023-07-26T00:00:00" u="1"/>
        <d v="2023-08-07T00:00:00" u="1"/>
        <d v="2023-07-22T00:00:00" u="1"/>
        <d v="2023-08-03T00:00:00" u="1"/>
        <d v="2023-07-18T00:00:00" u="1"/>
        <d v="2023-07-14T00:00:00" u="1"/>
        <d v="2023-06-29T00:00:00" u="1"/>
        <d v="2023-07-10T00:00:00" u="1"/>
        <d v="2023-06-25T00:00:00" u="1"/>
        <d v="2023-07-06T00:00:00" u="1"/>
        <d v="2023-06-21T00:00:00" u="1"/>
        <d v="2023-07-02T00:00:00" u="1"/>
        <d v="2023-06-17T00:00:00" u="1"/>
        <d v="2023-06-13T00:00:00" u="1"/>
        <d v="2023-05-28T00:00:00" u="1"/>
        <d v="2023-08-30T00:00:00" u="1"/>
        <d v="2023-06-09T00:00:00" u="1"/>
        <d v="2023-08-26T00:00:00" u="1"/>
        <d v="2023-06-05T00:00:00" u="1"/>
        <d v="2023-09-07T00:00:00" u="1"/>
        <d v="2023-08-22T00:00:00" u="1"/>
        <d v="2023-06-01T00:00:00" u="1"/>
        <d v="2023-09-03T00:00:00" u="1"/>
        <d v="2023-08-18T00:00:00" u="1"/>
        <d v="2023-08-14T00:00:00" u="1"/>
        <d v="2023-07-29T00:00:00" u="1"/>
        <d v="2023-08-10T00:00:00" u="1"/>
        <d v="2023-07-25T00:00:00" u="1"/>
        <d v="2023-08-06T00:00:00" u="1"/>
        <d v="2023-07-21T00:00:00" u="1"/>
        <d v="2023-08-02T00:00:00" u="1"/>
        <d v="2023-07-17T00:00:00" u="1"/>
        <d v="2023-07-13T00:00:00" u="1"/>
        <d v="2023-06-28T00:00:00" u="1"/>
        <d v="2023-07-09T00:00:00" u="1"/>
        <d v="2023-06-24T00:00:00" u="1"/>
        <d v="2023-07-05T00:00:00" u="1"/>
        <d v="2023-06-20T00:00:00" u="1"/>
        <d v="2023-07-01T00:00:00" u="1"/>
        <d v="2023-06-16T00:00:00" u="1"/>
        <d v="2023-05-31T00:00:00" u="1"/>
        <d v="2023-06-12T00:00:00" u="1"/>
        <d v="2023-05-27T00:00:00" u="1"/>
        <d v="2023-08-29T00:00:00" u="1"/>
        <d v="2023-06-08T00:00:00" u="1"/>
        <d v="2023-08-25T00:00:00" u="1"/>
        <d v="2023-06-04T00:00:00" u="1"/>
        <d v="2023-09-06T00:00:00" u="1"/>
        <d v="2023-08-21T00:00:00" u="1"/>
        <d v="2023-09-02T00:00:00" u="1"/>
        <d v="2023-08-17T00:00:00" u="1"/>
        <d v="2023-08-13T00:00:00" u="1"/>
        <d v="2023-07-28T00:00:00" u="1"/>
        <d v="2023-08-09T00:00:00" u="1"/>
        <d v="2023-07-24T00:00:00" u="1"/>
        <d v="2023-08-05T00:00:00" u="1"/>
        <d v="2023-07-20T00:00:00" u="1"/>
        <d v="2023-08-01T00:00:00" u="1"/>
        <d v="2023-07-16T00:00:00" u="1"/>
        <d v="2023-07-12T00:00:00" u="1"/>
        <d v="2023-06-27T00:00:00" u="1"/>
        <d v="2023-07-08T00:00:00" u="1"/>
        <d v="2023-06-23T00:00:00" u="1"/>
        <d v="2023-07-04T00:00:00" u="1"/>
        <d v="2023-06-19T00:00:00" u="1"/>
        <d v="2023-06-15T00:00:00" u="1"/>
        <d v="2023-05-30T00:00:00" u="1"/>
        <d v="2023-06-11T00:00:00" u="1"/>
        <d v="2023-05-26T00:00:00" u="1"/>
        <d v="2023-08-28T00:00:00" u="1"/>
        <d v="2023-06-07T00:00:00" u="1"/>
        <d v="2023-08-24T00:00:00" u="1"/>
        <d v="2023-06-03T00:00:00" u="1"/>
        <d v="2023-09-05T00:00:00" u="1"/>
        <d v="2023-08-20T00:00:00" u="1"/>
        <d v="2023-09-01T00:00:00" u="1"/>
        <d v="2023-08-16T00:00:00" u="1"/>
        <d v="2023-07-31T00:00:00" u="1"/>
        <d v="2023-08-12T00:00:00" u="1"/>
        <d v="2023-07-27T00:00:00" u="1"/>
        <d v="2023-08-08T00:00:00" u="1"/>
        <d v="2023-07-23T00:00:00" u="1"/>
        <d v="2023-08-04T00:00:00" u="1"/>
        <d v="2023-07-19T00:00:00" u="1"/>
        <d v="2023-07-15T00:00:00" u="1"/>
        <d v="2023-06-30T00:00:00" u="1"/>
        <d v="2023-07-11T00:00:00" u="1"/>
        <d v="2023-06-26T00:00:00" u="1"/>
        <d v="2023-07-07T00:00:00" u="1"/>
        <d v="2023-06-22T00:00:00" u="1"/>
        <d v="2023-07-03T00:00:00" u="1"/>
        <d v="2023-06-18T00:00:00" u="1"/>
        <d v="2023-06-14T00:00:00" u="1"/>
        <d v="2023-05-29T00:00:00" u="1"/>
        <d v="2023-08-31T00:00:00" u="1"/>
        <d v="2023-06-10T00:00:00" u="1"/>
        <d v="2023-08-27T00:00:00" u="1"/>
        <d v="2023-06-06T00:00:00" u="1"/>
        <d v="2023-08-23T00:00:00" u="1"/>
        <d v="2023-06-02T00:00:00" u="1"/>
        <d v="2023-09-04T00:00:00" u="1"/>
        <d v="2023-08-19T00:00:00" u="1"/>
        <d v="2023-08-15T00:00:00" u="1"/>
        <d v="2023-07-30T00:00:00" u="1"/>
        <d v="2023-08-11T00:00:00" u="1"/>
      </sharedItems>
    </cacheField>
    <cacheField name="Interval" numFmtId="0">
      <sharedItems containsString="0" containsBlank="1" containsNumber="1" containsInteger="1" minValue="0" maxValue="23" count="25">
        <n v="14"/>
        <n v="15"/>
        <n v="16"/>
        <n v="17"/>
        <n v="18"/>
        <n v="19"/>
        <n v="20"/>
        <n v="21"/>
        <n v="22"/>
        <n v="23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m/>
      </sharedItems>
    </cacheField>
    <cacheField name="Minute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8">
  <r>
    <n v="98"/>
    <n v="145"/>
    <n v="48"/>
    <n v="0"/>
    <n v="0"/>
    <n v="0"/>
    <n v="0"/>
    <n v="98"/>
    <n v="6"/>
    <n v="59"/>
    <n v="161"/>
    <n v="81"/>
    <d v="2024-02-21T12:00:00"/>
    <s v="PT30M"/>
    <x v="0"/>
    <x v="0"/>
    <n v="0"/>
  </r>
  <r>
    <n v="107"/>
    <n v="139"/>
    <n v="59"/>
    <n v="0"/>
    <n v="0"/>
    <n v="0"/>
    <n v="0"/>
    <n v="107"/>
    <n v="7"/>
    <n v="64"/>
    <n v="145"/>
    <n v="76"/>
    <d v="2024-02-21T13:00:00"/>
    <s v="PT30M"/>
    <x v="0"/>
    <x v="1"/>
    <n v="0"/>
  </r>
  <r>
    <n v="136"/>
    <n v="181"/>
    <n v="76"/>
    <n v="1"/>
    <n v="2"/>
    <n v="56"/>
    <n v="0"/>
    <n v="136"/>
    <n v="7"/>
    <n v="71"/>
    <n v="131"/>
    <n v="56"/>
    <d v="2024-02-21T14:00:00"/>
    <s v="PT30M"/>
    <x v="0"/>
    <x v="2"/>
    <n v="0"/>
  </r>
  <r>
    <n v="108"/>
    <n v="153"/>
    <n v="52"/>
    <n v="27"/>
    <n v="140"/>
    <n v="552"/>
    <n v="0"/>
    <n v="82"/>
    <n v="6"/>
    <n v="79"/>
    <n v="119"/>
    <n v="29"/>
    <d v="2024-02-21T15:00:00"/>
    <s v="PT30M"/>
    <x v="0"/>
    <x v="3"/>
    <n v="0"/>
  </r>
  <r>
    <n v="10"/>
    <n v="14"/>
    <n v="5"/>
    <n v="0"/>
    <n v="2"/>
    <n v="59"/>
    <n v="0"/>
    <n v="10"/>
    <n v="5"/>
    <n v="89"/>
    <n v="107"/>
    <n v="26"/>
    <d v="2024-02-21T16:00:00"/>
    <s v="PT30M"/>
    <x v="0"/>
    <x v="4"/>
    <n v="0"/>
  </r>
  <r>
    <n v="0"/>
    <n v="0"/>
    <n v="0"/>
    <n v="0"/>
    <n v="0"/>
    <n v="0"/>
    <n v="0"/>
    <n v="0"/>
    <n v="4"/>
    <n v="99"/>
    <n v="97"/>
    <n v="24"/>
    <d v="2024-02-21T17:00:00"/>
    <s v="PT30M"/>
    <x v="0"/>
    <x v="5"/>
    <n v="0"/>
  </r>
  <r>
    <n v="0"/>
    <n v="0"/>
    <n v="0"/>
    <n v="0"/>
    <n v="0"/>
    <n v="0"/>
    <n v="0"/>
    <n v="0"/>
    <n v="4"/>
    <n v="109"/>
    <n v="86"/>
    <n v="24"/>
    <d v="2024-02-21T18:00:00"/>
    <s v="PT30M"/>
    <x v="0"/>
    <x v="6"/>
    <n v="0"/>
  </r>
  <r>
    <n v="0"/>
    <n v="0"/>
    <n v="0"/>
    <n v="0"/>
    <n v="0"/>
    <n v="0"/>
    <n v="0"/>
    <n v="0"/>
    <n v="4"/>
    <n v="119"/>
    <n v="74"/>
    <n v="25"/>
    <d v="2024-02-21T19:00:00"/>
    <s v="PT30M"/>
    <x v="0"/>
    <x v="7"/>
    <n v="0"/>
  </r>
  <r>
    <n v="0"/>
    <n v="0"/>
    <n v="0"/>
    <n v="0"/>
    <n v="0"/>
    <n v="0"/>
    <n v="0"/>
    <n v="0"/>
    <n v="4"/>
    <n v="129"/>
    <n v="61"/>
    <n v="24"/>
    <d v="2024-02-21T20:00:00"/>
    <s v="PT30M"/>
    <x v="0"/>
    <x v="8"/>
    <n v="0"/>
  </r>
  <r>
    <n v="0"/>
    <n v="0"/>
    <n v="0"/>
    <n v="0"/>
    <n v="0"/>
    <n v="0"/>
    <n v="0"/>
    <n v="0"/>
    <n v="3"/>
    <n v="137"/>
    <n v="44"/>
    <n v="24"/>
    <d v="2024-02-21T21:00:00"/>
    <s v="PT30M"/>
    <x v="0"/>
    <x v="9"/>
    <n v="0"/>
  </r>
  <r>
    <n v="0"/>
    <n v="0"/>
    <n v="0"/>
    <n v="0"/>
    <n v="0"/>
    <n v="0"/>
    <n v="0"/>
    <n v="0"/>
    <n v="3"/>
    <n v="143"/>
    <n v="23"/>
    <n v="24"/>
    <d v="2024-02-21T22:00:00"/>
    <s v="PT30M"/>
    <x v="1"/>
    <x v="10"/>
    <n v="0"/>
  </r>
  <r>
    <n v="0"/>
    <n v="0"/>
    <n v="0"/>
    <n v="0"/>
    <n v="0"/>
    <n v="0"/>
    <n v="0"/>
    <n v="0"/>
    <n v="3"/>
    <n v="145"/>
    <n v="-2"/>
    <n v="21"/>
    <d v="2024-02-21T23:00:00"/>
    <s v="PT30M"/>
    <x v="1"/>
    <x v="11"/>
    <n v="0"/>
  </r>
  <r>
    <n v="0"/>
    <n v="0"/>
    <n v="0"/>
    <n v="0"/>
    <n v="0"/>
    <n v="0"/>
    <n v="0"/>
    <n v="0"/>
    <n v="2"/>
    <n v="142"/>
    <n v="-27"/>
    <n v="21"/>
    <d v="2024-02-22T00:00:00"/>
    <s v="PT30M"/>
    <x v="1"/>
    <x v="12"/>
    <n v="0"/>
  </r>
  <r>
    <n v="0"/>
    <n v="0"/>
    <n v="0"/>
    <n v="0"/>
    <n v="0"/>
    <n v="0"/>
    <n v="0"/>
    <n v="0"/>
    <n v="2"/>
    <n v="136"/>
    <n v="-47"/>
    <n v="17"/>
    <d v="2024-02-22T01:00:00"/>
    <s v="PT30M"/>
    <x v="1"/>
    <x v="13"/>
    <n v="0"/>
  </r>
  <r>
    <n v="0"/>
    <n v="0"/>
    <n v="0"/>
    <n v="0"/>
    <n v="0"/>
    <n v="0"/>
    <n v="0"/>
    <n v="0"/>
    <n v="2"/>
    <n v="127"/>
    <n v="-63"/>
    <n v="14"/>
    <d v="2024-02-22T02:00:00"/>
    <s v="PT30M"/>
    <x v="1"/>
    <x v="14"/>
    <n v="0"/>
  </r>
  <r>
    <n v="0"/>
    <n v="0"/>
    <n v="0"/>
    <n v="0"/>
    <n v="0"/>
    <n v="0"/>
    <n v="0"/>
    <n v="0"/>
    <n v="1"/>
    <n v="117"/>
    <n v="-76"/>
    <n v="12"/>
    <d v="2024-02-22T03:00:00"/>
    <s v="PT30M"/>
    <x v="1"/>
    <x v="15"/>
    <n v="0"/>
  </r>
  <r>
    <n v="0"/>
    <n v="0"/>
    <n v="0"/>
    <n v="0"/>
    <n v="0"/>
    <n v="0"/>
    <n v="0"/>
    <n v="0"/>
    <n v="1"/>
    <n v="107"/>
    <n v="-88"/>
    <n v="12"/>
    <d v="2024-02-22T04:00:00"/>
    <s v="PT30M"/>
    <x v="1"/>
    <x v="16"/>
    <n v="0"/>
  </r>
  <r>
    <n v="0"/>
    <n v="0"/>
    <n v="0"/>
    <n v="0"/>
    <n v="0"/>
    <n v="0"/>
    <n v="0"/>
    <n v="0"/>
    <n v="1"/>
    <n v="97"/>
    <n v="-98"/>
    <n v="12"/>
    <d v="2024-02-22T05:00:00"/>
    <s v="PT30M"/>
    <x v="1"/>
    <x v="17"/>
    <n v="0"/>
  </r>
  <r>
    <n v="31"/>
    <n v="36"/>
    <n v="13"/>
    <n v="9"/>
    <n v="104"/>
    <n v="198"/>
    <n v="0"/>
    <n v="22"/>
    <n v="1"/>
    <n v="87"/>
    <n v="-109"/>
    <n v="13"/>
    <d v="2024-02-22T06:00:00"/>
    <s v="PT30M"/>
    <x v="1"/>
    <x v="18"/>
    <n v="0"/>
  </r>
  <r>
    <n v="158"/>
    <n v="191"/>
    <n v="82"/>
    <n v="78"/>
    <n v="353"/>
    <n v="648"/>
    <n v="0"/>
    <n v="80"/>
    <n v="3"/>
    <n v="77"/>
    <n v="-121"/>
    <n v="17"/>
    <d v="2024-02-22T07:00:00"/>
    <s v="PT30M"/>
    <x v="1"/>
    <x v="19"/>
    <n v="0"/>
  </r>
  <r>
    <n v="303"/>
    <n v="345"/>
    <n v="155"/>
    <n v="191"/>
    <n v="530"/>
    <n v="784"/>
    <n v="0"/>
    <n v="112"/>
    <n v="4"/>
    <n v="69"/>
    <n v="-133"/>
    <n v="12"/>
    <d v="2024-02-22T08:00:00"/>
    <s v="PT30M"/>
    <x v="1"/>
    <x v="20"/>
    <n v="0"/>
  </r>
  <r>
    <n v="427"/>
    <n v="467"/>
    <n v="211"/>
    <n v="303"/>
    <n v="652"/>
    <n v="840"/>
    <n v="2"/>
    <n v="125"/>
    <n v="5"/>
    <n v="62"/>
    <n v="-148"/>
    <n v="8"/>
    <d v="2024-02-22T09:00:00"/>
    <s v="PT30M"/>
    <x v="1"/>
    <x v="21"/>
    <n v="0"/>
  </r>
  <r>
    <n v="495"/>
    <n v="541"/>
    <n v="256"/>
    <n v="352"/>
    <n v="666"/>
    <n v="860"/>
    <n v="19"/>
    <n v="143"/>
    <n v="7"/>
    <n v="58"/>
    <n v="-164"/>
    <n v="8"/>
    <d v="2024-02-22T10:00:00"/>
    <s v="PT30M"/>
    <x v="1"/>
    <x v="22"/>
    <n v="0"/>
  </r>
  <r>
    <n v="502"/>
    <n v="563"/>
    <n v="269"/>
    <n v="339"/>
    <n v="620"/>
    <n v="865"/>
    <n v="25"/>
    <n v="162"/>
    <n v="8"/>
    <n v="57"/>
    <n v="178"/>
    <n v="11"/>
    <d v="2024-02-22T11:00:00"/>
    <s v="PT30M"/>
    <x v="1"/>
    <x v="23"/>
    <n v="0"/>
  </r>
  <r>
    <n v="468"/>
    <n v="529"/>
    <n v="262"/>
    <n v="309"/>
    <n v="593"/>
    <n v="850"/>
    <n v="36"/>
    <n v="159"/>
    <n v="8"/>
    <n v="59"/>
    <n v="161"/>
    <n v="12"/>
    <d v="2024-02-22T12:00:00"/>
    <s v="PT30M"/>
    <x v="1"/>
    <x v="0"/>
    <n v="0"/>
  </r>
  <r>
    <n v="389"/>
    <n v="445"/>
    <n v="219"/>
    <n v="246"/>
    <n v="548"/>
    <n v="818"/>
    <n v="28"/>
    <n v="142"/>
    <n v="9"/>
    <n v="63"/>
    <n v="145"/>
    <n v="13"/>
    <d v="2024-02-22T13:00:00"/>
    <s v="PT30M"/>
    <x v="1"/>
    <x v="1"/>
    <n v="0"/>
  </r>
  <r>
    <n v="248"/>
    <n v="316"/>
    <n v="144"/>
    <n v="117"/>
    <n v="345"/>
    <n v="749"/>
    <n v="0"/>
    <n v="131"/>
    <n v="9"/>
    <n v="70"/>
    <n v="131"/>
    <n v="22"/>
    <d v="2024-02-22T14:00:00"/>
    <s v="PT30M"/>
    <x v="1"/>
    <x v="2"/>
    <n v="0"/>
  </r>
  <r>
    <n v="114"/>
    <n v="161"/>
    <n v="64"/>
    <n v="33"/>
    <n v="168"/>
    <n v="599"/>
    <n v="0"/>
    <n v="81"/>
    <n v="8"/>
    <n v="79"/>
    <n v="118"/>
    <n v="29"/>
    <d v="2024-02-22T15:00:00"/>
    <s v="PT30M"/>
    <x v="1"/>
    <x v="3"/>
    <n v="0"/>
  </r>
  <r>
    <n v="12"/>
    <n v="17"/>
    <n v="6"/>
    <n v="0"/>
    <n v="4"/>
    <n v="94"/>
    <n v="0"/>
    <n v="12"/>
    <n v="7"/>
    <n v="88"/>
    <n v="107"/>
    <n v="31"/>
    <d v="2024-02-22T16:00:00"/>
    <s v="PT30M"/>
    <x v="1"/>
    <x v="4"/>
    <n v="0"/>
  </r>
  <r>
    <n v="0"/>
    <n v="0"/>
    <n v="0"/>
    <n v="0"/>
    <n v="0"/>
    <n v="0"/>
    <n v="0"/>
    <n v="0"/>
    <n v="7"/>
    <n v="99"/>
    <n v="96"/>
    <n v="35"/>
    <d v="2024-02-22T17:00:00"/>
    <s v="PT30M"/>
    <x v="1"/>
    <x v="5"/>
    <n v="0"/>
  </r>
  <r>
    <n v="0"/>
    <n v="0"/>
    <n v="0"/>
    <n v="0"/>
    <n v="0"/>
    <n v="0"/>
    <n v="0"/>
    <n v="0"/>
    <n v="7"/>
    <n v="109"/>
    <n v="86"/>
    <n v="36"/>
    <d v="2024-02-22T18:00:00"/>
    <s v="PT30M"/>
    <x v="1"/>
    <x v="6"/>
    <n v="0"/>
  </r>
  <r>
    <n v="0"/>
    <n v="0"/>
    <n v="0"/>
    <n v="0"/>
    <n v="0"/>
    <n v="0"/>
    <n v="0"/>
    <n v="0"/>
    <n v="6"/>
    <n v="119"/>
    <n v="74"/>
    <n v="36"/>
    <d v="2024-02-22T19:00:00"/>
    <s v="PT30M"/>
    <x v="1"/>
    <x v="7"/>
    <n v="0"/>
  </r>
  <r>
    <n v="0"/>
    <n v="0"/>
    <n v="0"/>
    <n v="0"/>
    <n v="0"/>
    <n v="0"/>
    <n v="0"/>
    <n v="0"/>
    <n v="6"/>
    <n v="129"/>
    <n v="60"/>
    <n v="36"/>
    <d v="2024-02-22T20:00:00"/>
    <s v="PT30M"/>
    <x v="1"/>
    <x v="8"/>
    <n v="0"/>
  </r>
  <r>
    <n v="0"/>
    <n v="0"/>
    <n v="0"/>
    <n v="0"/>
    <n v="0"/>
    <n v="0"/>
    <n v="0"/>
    <n v="0"/>
    <n v="6"/>
    <n v="137"/>
    <n v="44"/>
    <n v="36"/>
    <d v="2024-02-22T21:00:00"/>
    <s v="PT30M"/>
    <x v="1"/>
    <x v="9"/>
    <n v="0"/>
  </r>
  <r>
    <n v="0"/>
    <n v="0"/>
    <n v="0"/>
    <n v="0"/>
    <n v="0"/>
    <n v="0"/>
    <n v="0"/>
    <n v="0"/>
    <n v="6"/>
    <n v="143"/>
    <n v="22"/>
    <n v="32"/>
    <d v="2024-02-22T22:00:00"/>
    <s v="PT30M"/>
    <x v="2"/>
    <x v="10"/>
    <n v="0"/>
  </r>
  <r>
    <n v="0"/>
    <n v="0"/>
    <n v="0"/>
    <n v="0"/>
    <n v="0"/>
    <n v="0"/>
    <n v="0"/>
    <n v="0"/>
    <n v="6"/>
    <n v="144"/>
    <n v="-2"/>
    <n v="31"/>
    <d v="2024-02-22T23:00:00"/>
    <s v="PT30M"/>
    <x v="2"/>
    <x v="11"/>
    <n v="0"/>
  </r>
  <r>
    <n v="0"/>
    <n v="0"/>
    <n v="0"/>
    <n v="0"/>
    <n v="0"/>
    <n v="0"/>
    <n v="0"/>
    <n v="0"/>
    <n v="6"/>
    <n v="142"/>
    <n v="-27"/>
    <n v="32"/>
    <d v="2024-02-23T00:00:00"/>
    <s v="PT30M"/>
    <x v="2"/>
    <x v="12"/>
    <n v="0"/>
  </r>
  <r>
    <n v="0"/>
    <n v="0"/>
    <n v="0"/>
    <n v="0"/>
    <n v="0"/>
    <n v="0"/>
    <n v="0"/>
    <n v="0"/>
    <n v="6"/>
    <n v="135"/>
    <n v="-47"/>
    <n v="32"/>
    <d v="2024-02-23T01:00:00"/>
    <s v="PT30M"/>
    <x v="2"/>
    <x v="13"/>
    <n v="0"/>
  </r>
  <r>
    <n v="0"/>
    <n v="0"/>
    <n v="0"/>
    <n v="0"/>
    <n v="0"/>
    <n v="0"/>
    <n v="0"/>
    <n v="0"/>
    <n v="6"/>
    <n v="127"/>
    <n v="-63"/>
    <n v="33"/>
    <d v="2024-02-23T02:00:00"/>
    <s v="PT30M"/>
    <x v="2"/>
    <x v="14"/>
    <n v="0"/>
  </r>
  <r>
    <n v="0"/>
    <n v="0"/>
    <n v="0"/>
    <n v="0"/>
    <n v="0"/>
    <n v="0"/>
    <n v="0"/>
    <n v="0"/>
    <n v="5"/>
    <n v="117"/>
    <n v="-76"/>
    <n v="36"/>
    <d v="2024-02-23T03:00:00"/>
    <s v="PT30M"/>
    <x v="2"/>
    <x v="15"/>
    <n v="0"/>
  </r>
  <r>
    <n v="0"/>
    <n v="0"/>
    <n v="0"/>
    <n v="0"/>
    <n v="0"/>
    <n v="0"/>
    <n v="0"/>
    <n v="0"/>
    <n v="5"/>
    <n v="107"/>
    <n v="-88"/>
    <n v="35"/>
    <d v="2024-02-23T04:00:00"/>
    <s v="PT30M"/>
    <x v="2"/>
    <x v="16"/>
    <n v="0"/>
  </r>
  <r>
    <n v="0"/>
    <n v="0"/>
    <n v="0"/>
    <n v="0"/>
    <n v="0"/>
    <n v="0"/>
    <n v="0"/>
    <n v="0"/>
    <n v="5"/>
    <n v="97"/>
    <n v="-98"/>
    <n v="34"/>
    <d v="2024-02-23T05:00:00"/>
    <s v="PT30M"/>
    <x v="2"/>
    <x v="17"/>
    <n v="0"/>
  </r>
  <r>
    <n v="24"/>
    <n v="36"/>
    <n v="11"/>
    <n v="0"/>
    <n v="0"/>
    <n v="159"/>
    <n v="0"/>
    <n v="24"/>
    <n v="5"/>
    <n v="86"/>
    <n v="-109"/>
    <n v="35"/>
    <d v="2024-02-23T06:00:00"/>
    <s v="PT30M"/>
    <x v="2"/>
    <x v="18"/>
    <n v="0"/>
  </r>
  <r>
    <n v="127"/>
    <n v="171"/>
    <n v="70"/>
    <n v="29"/>
    <n v="126"/>
    <n v="440"/>
    <n v="0"/>
    <n v="98"/>
    <n v="6"/>
    <n v="77"/>
    <n v="-120"/>
    <n v="33"/>
    <d v="2024-02-23T07:00:00"/>
    <s v="PT30M"/>
    <x v="2"/>
    <x v="19"/>
    <n v="0"/>
  </r>
  <r>
    <n v="228"/>
    <n v="335"/>
    <n v="122"/>
    <n v="68"/>
    <n v="187"/>
    <n v="707"/>
    <n v="0"/>
    <n v="160"/>
    <n v="8"/>
    <n v="69"/>
    <n v="-133"/>
    <n v="33"/>
    <d v="2024-02-23T08:00:00"/>
    <s v="PT30M"/>
    <x v="2"/>
    <x v="20"/>
    <n v="0"/>
  </r>
  <r>
    <n v="309"/>
    <n v="464"/>
    <n v="160"/>
    <n v="101"/>
    <n v="216"/>
    <n v="822"/>
    <n v="0"/>
    <n v="208"/>
    <n v="9"/>
    <n v="62"/>
    <n v="-148"/>
    <n v="33"/>
    <d v="2024-02-23T09:00:00"/>
    <s v="PT30M"/>
    <x v="2"/>
    <x v="21"/>
    <n v="0"/>
  </r>
  <r>
    <n v="366"/>
    <n v="541"/>
    <n v="192"/>
    <n v="131"/>
    <n v="245"/>
    <n v="858"/>
    <n v="0"/>
    <n v="235"/>
    <n v="10"/>
    <n v="58"/>
    <n v="-164"/>
    <n v="32"/>
    <d v="2024-02-23T10:00:00"/>
    <s v="PT30M"/>
    <x v="2"/>
    <x v="22"/>
    <n v="0"/>
  </r>
  <r>
    <n v="418"/>
    <n v="563"/>
    <n v="242"/>
    <n v="193"/>
    <n v="349"/>
    <n v="867"/>
    <n v="2"/>
    <n v="225"/>
    <n v="11"/>
    <n v="56"/>
    <n v="178"/>
    <n v="26"/>
    <d v="2024-02-23T11:00:00"/>
    <s v="PT30M"/>
    <x v="2"/>
    <x v="23"/>
    <n v="0"/>
  </r>
  <r>
    <n v="434"/>
    <n v="529"/>
    <n v="269"/>
    <n v="248"/>
    <n v="472"/>
    <n v="851"/>
    <n v="51"/>
    <n v="186"/>
    <n v="12"/>
    <n v="58"/>
    <n v="161"/>
    <n v="18"/>
    <d v="2024-02-23T12:00:00"/>
    <s v="PT30M"/>
    <x v="2"/>
    <x v="0"/>
    <n v="0"/>
  </r>
  <r>
    <n v="392"/>
    <n v="443"/>
    <n v="245"/>
    <n v="256"/>
    <n v="564"/>
    <n v="808"/>
    <n v="81"/>
    <n v="136"/>
    <n v="12"/>
    <n v="63"/>
    <n v="145"/>
    <n v="12"/>
    <d v="2024-02-23T13:00:00"/>
    <s v="PT30M"/>
    <x v="2"/>
    <x v="1"/>
    <n v="0"/>
  </r>
  <r>
    <n v="272"/>
    <n v="312"/>
    <n v="177"/>
    <n v="158"/>
    <n v="460"/>
    <n v="711"/>
    <n v="63"/>
    <n v="114"/>
    <n v="12"/>
    <n v="70"/>
    <n v="131"/>
    <n v="13"/>
    <d v="2024-02-23T14:00:00"/>
    <s v="PT30M"/>
    <x v="2"/>
    <x v="2"/>
    <n v="0"/>
  </r>
  <r>
    <n v="129"/>
    <n v="156"/>
    <n v="82"/>
    <n v="52"/>
    <n v="261"/>
    <n v="520"/>
    <n v="1"/>
    <n v="77"/>
    <n v="12"/>
    <n v="79"/>
    <n v="118"/>
    <n v="17"/>
    <d v="2024-02-23T15:00:00"/>
    <s v="PT30M"/>
    <x v="2"/>
    <x v="3"/>
    <n v="0"/>
  </r>
  <r>
    <n v="15"/>
    <n v="17"/>
    <n v="9"/>
    <n v="2"/>
    <n v="20"/>
    <n v="69"/>
    <n v="0"/>
    <n v="13"/>
    <n v="10"/>
    <n v="88"/>
    <n v="107"/>
    <n v="15"/>
    <d v="2024-02-23T16:00:00"/>
    <s v="PT30M"/>
    <x v="2"/>
    <x v="4"/>
    <n v="0"/>
  </r>
  <r>
    <n v="0"/>
    <n v="0"/>
    <n v="0"/>
    <n v="0"/>
    <n v="0"/>
    <n v="0"/>
    <n v="0"/>
    <n v="0"/>
    <n v="9"/>
    <n v="98"/>
    <n v="96"/>
    <n v="12"/>
    <d v="2024-02-23T17:00:00"/>
    <s v="PT30M"/>
    <x v="2"/>
    <x v="5"/>
    <n v="0"/>
  </r>
  <r>
    <n v="0"/>
    <n v="0"/>
    <n v="0"/>
    <n v="0"/>
    <n v="0"/>
    <n v="0"/>
    <n v="0"/>
    <n v="0"/>
    <n v="8"/>
    <n v="109"/>
    <n v="85"/>
    <n v="12"/>
    <d v="2024-02-23T18:00:00"/>
    <s v="PT30M"/>
    <x v="2"/>
    <x v="6"/>
    <n v="0"/>
  </r>
  <r>
    <n v="0"/>
    <n v="0"/>
    <n v="0"/>
    <n v="0"/>
    <n v="0"/>
    <n v="0"/>
    <n v="0"/>
    <n v="0"/>
    <n v="8"/>
    <n v="119"/>
    <n v="74"/>
    <n v="10"/>
    <d v="2024-02-23T19:00:00"/>
    <s v="PT30M"/>
    <x v="2"/>
    <x v="7"/>
    <n v="0"/>
  </r>
  <r>
    <n v="0"/>
    <n v="0"/>
    <n v="0"/>
    <n v="0"/>
    <n v="0"/>
    <n v="0"/>
    <n v="0"/>
    <n v="0"/>
    <n v="7"/>
    <n v="128"/>
    <n v="60"/>
    <n v="12"/>
    <d v="2024-02-23T20:00:00"/>
    <s v="PT30M"/>
    <x v="2"/>
    <x v="8"/>
    <n v="0"/>
  </r>
  <r>
    <n v="0"/>
    <n v="0"/>
    <n v="0"/>
    <n v="0"/>
    <n v="0"/>
    <n v="0"/>
    <n v="0"/>
    <n v="0"/>
    <n v="7"/>
    <n v="137"/>
    <n v="43"/>
    <n v="12"/>
    <d v="2024-02-23T21:00:00"/>
    <s v="PT30M"/>
    <x v="2"/>
    <x v="9"/>
    <n v="0"/>
  </r>
  <r>
    <n v="0"/>
    <n v="0"/>
    <n v="0"/>
    <n v="0"/>
    <n v="0"/>
    <n v="0"/>
    <n v="0"/>
    <n v="0"/>
    <n v="7"/>
    <n v="142"/>
    <n v="22"/>
    <n v="10"/>
    <d v="2024-02-23T22:00:00"/>
    <s v="PT30M"/>
    <x v="3"/>
    <x v="10"/>
    <n v="0"/>
  </r>
  <r>
    <n v="0"/>
    <n v="0"/>
    <n v="0"/>
    <n v="0"/>
    <n v="0"/>
    <n v="0"/>
    <n v="0"/>
    <n v="0"/>
    <n v="6"/>
    <n v="144"/>
    <n v="-2"/>
    <n v="14"/>
    <d v="2024-02-23T23:00:00"/>
    <s v="PT30M"/>
    <x v="3"/>
    <x v="11"/>
    <n v="0"/>
  </r>
  <r>
    <n v="0"/>
    <n v="0"/>
    <n v="0"/>
    <n v="0"/>
    <n v="0"/>
    <n v="0"/>
    <n v="0"/>
    <n v="0"/>
    <n v="6"/>
    <n v="141"/>
    <n v="-26"/>
    <n v="18"/>
    <d v="2024-02-24T00:00:00"/>
    <s v="PT30M"/>
    <x v="3"/>
    <x v="12"/>
    <n v="0"/>
  </r>
  <r>
    <n v="0"/>
    <n v="0"/>
    <n v="0"/>
    <n v="0"/>
    <n v="0"/>
    <n v="0"/>
    <n v="0"/>
    <n v="0"/>
    <n v="6"/>
    <n v="135"/>
    <n v="-47"/>
    <n v="26"/>
    <d v="2024-02-24T01:00:00"/>
    <s v="PT30M"/>
    <x v="3"/>
    <x v="13"/>
    <n v="0"/>
  </r>
  <r>
    <n v="0"/>
    <n v="0"/>
    <n v="0"/>
    <n v="0"/>
    <n v="0"/>
    <n v="0"/>
    <n v="0"/>
    <n v="0"/>
    <n v="6"/>
    <n v="127"/>
    <n v="-63"/>
    <n v="34"/>
    <d v="2024-02-24T02:00:00"/>
    <s v="PT30M"/>
    <x v="3"/>
    <x v="14"/>
    <n v="0"/>
  </r>
  <r>
    <n v="0"/>
    <n v="0"/>
    <n v="0"/>
    <n v="0"/>
    <n v="0"/>
    <n v="0"/>
    <n v="0"/>
    <n v="0"/>
    <n v="6"/>
    <n v="117"/>
    <n v="-76"/>
    <n v="43"/>
    <d v="2024-02-24T03:00:00"/>
    <s v="PT30M"/>
    <x v="3"/>
    <x v="15"/>
    <n v="0"/>
  </r>
  <r>
    <n v="0"/>
    <n v="0"/>
    <n v="0"/>
    <n v="0"/>
    <n v="0"/>
    <n v="0"/>
    <n v="0"/>
    <n v="0"/>
    <n v="6"/>
    <n v="107"/>
    <n v="-87"/>
    <n v="45"/>
    <d v="2024-02-24T04:00:00"/>
    <s v="PT30M"/>
    <x v="3"/>
    <x v="16"/>
    <n v="0"/>
  </r>
  <r>
    <n v="0"/>
    <n v="0"/>
    <n v="0"/>
    <n v="0"/>
    <n v="0"/>
    <n v="0"/>
    <n v="0"/>
    <n v="0"/>
    <n v="6"/>
    <n v="96"/>
    <n v="-98"/>
    <n v="45"/>
    <d v="2024-02-24T05:00:00"/>
    <s v="PT30M"/>
    <x v="3"/>
    <x v="17"/>
    <n v="0"/>
  </r>
  <r>
    <n v="22"/>
    <n v="34"/>
    <n v="12"/>
    <n v="0"/>
    <n v="0"/>
    <n v="83"/>
    <n v="0"/>
    <n v="22"/>
    <n v="6"/>
    <n v="86"/>
    <n v="-109"/>
    <n v="46"/>
    <d v="2024-02-24T06:00:00"/>
    <s v="PT30M"/>
    <x v="3"/>
    <x v="18"/>
    <n v="0"/>
  </r>
  <r>
    <n v="91"/>
    <n v="135"/>
    <n v="52"/>
    <n v="0"/>
    <n v="0"/>
    <n v="159"/>
    <n v="0"/>
    <n v="91"/>
    <n v="7"/>
    <n v="77"/>
    <n v="-120"/>
    <n v="51"/>
    <d v="2024-02-24T07:00:00"/>
    <s v="PT30M"/>
    <x v="3"/>
    <x v="19"/>
    <n v="0"/>
  </r>
  <r>
    <n v="153"/>
    <n v="247"/>
    <n v="76"/>
    <n v="0"/>
    <n v="0"/>
    <n v="232"/>
    <n v="0"/>
    <n v="153"/>
    <n v="9"/>
    <n v="68"/>
    <n v="-133"/>
    <n v="54"/>
    <d v="2024-02-24T08:00:00"/>
    <s v="PT30M"/>
    <x v="3"/>
    <x v="20"/>
    <n v="0"/>
  </r>
  <r>
    <n v="205"/>
    <n v="349"/>
    <n v="95"/>
    <n v="0"/>
    <n v="0"/>
    <n v="314"/>
    <n v="0"/>
    <n v="205"/>
    <n v="11"/>
    <n v="62"/>
    <n v="-148"/>
    <n v="54"/>
    <d v="2024-02-24T09:00:00"/>
    <s v="PT30M"/>
    <x v="3"/>
    <x v="21"/>
    <n v="0"/>
  </r>
  <r>
    <n v="224"/>
    <n v="391"/>
    <n v="97"/>
    <n v="0"/>
    <n v="0"/>
    <n v="299"/>
    <n v="0"/>
    <n v="224"/>
    <n v="12"/>
    <n v="57"/>
    <n v="-164"/>
    <n v="58"/>
    <d v="2024-02-24T10:00:00"/>
    <s v="PT30M"/>
    <x v="3"/>
    <x v="22"/>
    <n v="0"/>
  </r>
  <r>
    <n v="216"/>
    <n v="397"/>
    <n v="84"/>
    <n v="0"/>
    <n v="0"/>
    <n v="287"/>
    <n v="0"/>
    <n v="216"/>
    <n v="13"/>
    <n v="56"/>
    <n v="178"/>
    <n v="61"/>
    <d v="2024-02-24T11:00:00"/>
    <s v="PT30M"/>
    <x v="3"/>
    <x v="23"/>
    <n v="0"/>
  </r>
  <r>
    <n v="193"/>
    <n v="364"/>
    <n v="68"/>
    <n v="0"/>
    <n v="0"/>
    <n v="263"/>
    <n v="0"/>
    <n v="193"/>
    <n v="13"/>
    <n v="58"/>
    <n v="161"/>
    <n v="64"/>
    <d v="2024-02-24T12:00:00"/>
    <s v="PT30M"/>
    <x v="3"/>
    <x v="0"/>
    <n v="0"/>
  </r>
  <r>
    <n v="167"/>
    <n v="313"/>
    <n v="59"/>
    <n v="0"/>
    <n v="0"/>
    <n v="270"/>
    <n v="0"/>
    <n v="167"/>
    <n v="14"/>
    <n v="63"/>
    <n v="145"/>
    <n v="63"/>
    <d v="2024-02-24T13:00:00"/>
    <s v="PT30M"/>
    <x v="3"/>
    <x v="1"/>
    <n v="0"/>
  </r>
  <r>
    <n v="134"/>
    <n v="228"/>
    <n v="58"/>
    <n v="0"/>
    <n v="0"/>
    <n v="258"/>
    <n v="0"/>
    <n v="134"/>
    <n v="14"/>
    <n v="70"/>
    <n v="130"/>
    <n v="58"/>
    <d v="2024-02-24T14:00:00"/>
    <s v="PT30M"/>
    <x v="3"/>
    <x v="2"/>
    <n v="0"/>
  </r>
  <r>
    <n v="69"/>
    <n v="116"/>
    <n v="32"/>
    <n v="0"/>
    <n v="0"/>
    <n v="167"/>
    <n v="0"/>
    <n v="69"/>
    <n v="13"/>
    <n v="78"/>
    <n v="118"/>
    <n v="59"/>
    <d v="2024-02-24T15:00:00"/>
    <s v="PT30M"/>
    <x v="3"/>
    <x v="3"/>
    <n v="0"/>
  </r>
  <r>
    <n v="8"/>
    <n v="14"/>
    <n v="3"/>
    <n v="0"/>
    <n v="0"/>
    <n v="6"/>
    <n v="0"/>
    <n v="8"/>
    <n v="12"/>
    <n v="88"/>
    <n v="107"/>
    <n v="64"/>
    <d v="2024-02-24T16:00:00"/>
    <s v="PT30M"/>
    <x v="3"/>
    <x v="4"/>
    <n v="0"/>
  </r>
  <r>
    <n v="0"/>
    <n v="0"/>
    <n v="0"/>
    <n v="0"/>
    <n v="0"/>
    <n v="0"/>
    <n v="0"/>
    <n v="0"/>
    <n v="11"/>
    <n v="98"/>
    <n v="96"/>
    <n v="64"/>
    <d v="2024-02-24T17:00:00"/>
    <s v="PT30M"/>
    <x v="3"/>
    <x v="5"/>
    <n v="0"/>
  </r>
  <r>
    <n v="0"/>
    <n v="0"/>
    <n v="0"/>
    <n v="0"/>
    <n v="0"/>
    <n v="0"/>
    <n v="0"/>
    <n v="0"/>
    <n v="10"/>
    <n v="108"/>
    <n v="85"/>
    <n v="64"/>
    <d v="2024-02-24T18:00:00"/>
    <s v="PT30M"/>
    <x v="3"/>
    <x v="6"/>
    <n v="0"/>
  </r>
  <r>
    <n v="0"/>
    <n v="0"/>
    <n v="0"/>
    <n v="0"/>
    <n v="0"/>
    <n v="0"/>
    <n v="0"/>
    <n v="0"/>
    <n v="10"/>
    <n v="119"/>
    <n v="73"/>
    <n v="64"/>
    <d v="2024-02-24T19:00:00"/>
    <s v="PT30M"/>
    <x v="3"/>
    <x v="7"/>
    <n v="0"/>
  </r>
  <r>
    <n v="0"/>
    <n v="0"/>
    <n v="0"/>
    <n v="0"/>
    <n v="0"/>
    <n v="0"/>
    <n v="0"/>
    <n v="0"/>
    <n v="9"/>
    <n v="128"/>
    <n v="60"/>
    <n v="63"/>
    <d v="2024-02-24T20:00:00"/>
    <s v="PT30M"/>
    <x v="3"/>
    <x v="8"/>
    <n v="0"/>
  </r>
  <r>
    <n v="0"/>
    <n v="0"/>
    <n v="0"/>
    <n v="0"/>
    <n v="0"/>
    <n v="0"/>
    <n v="0"/>
    <n v="0"/>
    <n v="9"/>
    <n v="136"/>
    <n v="43"/>
    <n v="63"/>
    <d v="2024-02-24T21:00:00"/>
    <s v="PT30M"/>
    <x v="3"/>
    <x v="9"/>
    <n v="0"/>
  </r>
  <r>
    <n v="0"/>
    <n v="0"/>
    <n v="0"/>
    <n v="0"/>
    <n v="0"/>
    <n v="0"/>
    <n v="0"/>
    <n v="0"/>
    <n v="8"/>
    <n v="142"/>
    <n v="22"/>
    <n v="63"/>
    <d v="2024-02-24T22:00:00"/>
    <s v="PT30M"/>
    <x v="4"/>
    <x v="10"/>
    <n v="0"/>
  </r>
  <r>
    <n v="0"/>
    <n v="0"/>
    <n v="0"/>
    <n v="0"/>
    <n v="0"/>
    <n v="0"/>
    <n v="0"/>
    <n v="0"/>
    <n v="8"/>
    <n v="144"/>
    <n v="-2"/>
    <n v="65"/>
    <d v="2024-02-24T23:00:00"/>
    <s v="PT30M"/>
    <x v="4"/>
    <x v="11"/>
    <n v="0"/>
  </r>
  <r>
    <n v="0"/>
    <n v="0"/>
    <n v="0"/>
    <n v="0"/>
    <n v="0"/>
    <n v="0"/>
    <n v="0"/>
    <n v="0"/>
    <n v="8"/>
    <n v="141"/>
    <n v="-26"/>
    <n v="69"/>
    <n v="45347"/>
    <s v="PT30M"/>
    <x v="4"/>
    <x v="12"/>
    <n v="0"/>
  </r>
  <r>
    <n v="0"/>
    <n v="0"/>
    <n v="0"/>
    <n v="0"/>
    <n v="0"/>
    <n v="0"/>
    <n v="0"/>
    <n v="0"/>
    <n v="8"/>
    <n v="135"/>
    <n v="-46"/>
    <n v="67"/>
    <d v="2024-02-25T01:00:00"/>
    <s v="PT30M"/>
    <x v="4"/>
    <x v="13"/>
    <n v="0"/>
  </r>
  <r>
    <n v="0"/>
    <n v="0"/>
    <n v="0"/>
    <n v="0"/>
    <n v="0"/>
    <n v="0"/>
    <n v="0"/>
    <n v="0"/>
    <n v="8"/>
    <n v="126"/>
    <n v="-62"/>
    <n v="64"/>
    <d v="2024-02-25T02:00:00"/>
    <s v="PT30M"/>
    <x v="4"/>
    <x v="14"/>
    <n v="0"/>
  </r>
  <r>
    <n v="0"/>
    <n v="0"/>
    <n v="0"/>
    <n v="0"/>
    <n v="0"/>
    <n v="0"/>
    <n v="0"/>
    <n v="0"/>
    <n v="8"/>
    <n v="117"/>
    <n v="-76"/>
    <n v="60"/>
    <d v="2024-02-25T03:00:00"/>
    <s v="PT30M"/>
    <x v="4"/>
    <x v="15"/>
    <n v="0"/>
  </r>
  <r>
    <n v="0"/>
    <n v="0"/>
    <n v="0"/>
    <n v="0"/>
    <n v="0"/>
    <n v="0"/>
    <n v="0"/>
    <n v="0"/>
    <n v="8"/>
    <n v="106"/>
    <n v="-87"/>
    <n v="56"/>
    <d v="2024-02-25T04:00:00"/>
    <s v="PT30M"/>
    <x v="4"/>
    <x v="16"/>
    <n v="0"/>
  </r>
  <r>
    <n v="0"/>
    <n v="0"/>
    <n v="0"/>
    <n v="0"/>
    <n v="0"/>
    <n v="0"/>
    <n v="0"/>
    <n v="0"/>
    <n v="8"/>
    <n v="96"/>
    <n v="-98"/>
    <n v="54"/>
    <d v="2024-02-25T05:00:00"/>
    <s v="PT30M"/>
    <x v="4"/>
    <x v="17"/>
    <n v="0"/>
  </r>
  <r>
    <n v="20"/>
    <n v="37"/>
    <n v="9"/>
    <n v="0"/>
    <n v="0"/>
    <n v="98"/>
    <n v="0"/>
    <n v="20"/>
    <n v="8"/>
    <n v="86"/>
    <n v="-109"/>
    <n v="56"/>
    <d v="2024-02-25T06:00:00"/>
    <s v="PT30M"/>
    <x v="4"/>
    <x v="18"/>
    <n v="0"/>
  </r>
  <r>
    <n v="101"/>
    <n v="162"/>
    <n v="51"/>
    <n v="3"/>
    <n v="13"/>
    <n v="336"/>
    <n v="0"/>
    <n v="98"/>
    <n v="8"/>
    <n v="76"/>
    <n v="-120"/>
    <n v="49"/>
    <d v="2024-02-25T07:00:00"/>
    <s v="PT30M"/>
    <x v="4"/>
    <x v="19"/>
    <n v="0"/>
  </r>
  <r>
    <n v="198"/>
    <n v="337"/>
    <n v="91"/>
    <n v="34"/>
    <n v="90"/>
    <n v="689"/>
    <n v="0"/>
    <n v="164"/>
    <n v="9"/>
    <n v="68"/>
    <n v="-133"/>
    <n v="44"/>
    <d v="2024-02-25T08:00:00"/>
    <s v="PT30M"/>
    <x v="4"/>
    <x v="20"/>
    <n v="0"/>
  </r>
  <r>
    <n v="292"/>
    <n v="475"/>
    <n v="127"/>
    <n v="82"/>
    <n v="170"/>
    <n v="856"/>
    <n v="0"/>
    <n v="210"/>
    <n v="10"/>
    <n v="61"/>
    <n v="-147"/>
    <n v="39"/>
    <d v="2024-02-25T09:00:00"/>
    <s v="PT30M"/>
    <x v="4"/>
    <x v="21"/>
    <n v="0"/>
  </r>
  <r>
    <n v="346"/>
    <n v="552"/>
    <n v="150"/>
    <n v="107"/>
    <n v="197"/>
    <n v="889"/>
    <n v="0"/>
    <n v="238"/>
    <n v="12"/>
    <n v="57"/>
    <n v="-164"/>
    <n v="37"/>
    <d v="2024-02-25T10:00:00"/>
    <s v="PT30M"/>
    <x v="4"/>
    <x v="22"/>
    <n v="0"/>
  </r>
  <r>
    <n v="377"/>
    <n v="574"/>
    <n v="164"/>
    <n v="132"/>
    <n v="234"/>
    <n v="887"/>
    <n v="0"/>
    <n v="245"/>
    <n v="13"/>
    <n v="56"/>
    <n v="178"/>
    <n v="34"/>
    <d v="2024-02-25T11:00:00"/>
    <s v="PT30M"/>
    <x v="4"/>
    <x v="23"/>
    <n v="0"/>
  </r>
  <r>
    <n v="356"/>
    <n v="542"/>
    <n v="150"/>
    <n v="122"/>
    <n v="228"/>
    <n v="873"/>
    <n v="0"/>
    <n v="234"/>
    <n v="14"/>
    <n v="58"/>
    <n v="161"/>
    <n v="34"/>
    <d v="2024-02-25T12:00:00"/>
    <s v="PT30M"/>
    <x v="4"/>
    <x v="0"/>
    <n v="0"/>
  </r>
  <r>
    <n v="304"/>
    <n v="459"/>
    <n v="122"/>
    <n v="104"/>
    <n v="224"/>
    <n v="841"/>
    <n v="0"/>
    <n v="200"/>
    <n v="14"/>
    <n v="62"/>
    <n v="145"/>
    <n v="34"/>
    <d v="2024-02-25T13:00:00"/>
    <s v="PT30M"/>
    <x v="4"/>
    <x v="1"/>
    <n v="0"/>
  </r>
  <r>
    <n v="211"/>
    <n v="329"/>
    <n v="88"/>
    <n v="57"/>
    <n v="161"/>
    <n v="756"/>
    <n v="0"/>
    <n v="154"/>
    <n v="14"/>
    <n v="69"/>
    <n v="130"/>
    <n v="36"/>
    <d v="2024-02-25T14:00:00"/>
    <s v="PT30M"/>
    <x v="4"/>
    <x v="2"/>
    <n v="0"/>
  </r>
  <r>
    <n v="102"/>
    <n v="171"/>
    <n v="43"/>
    <n v="12"/>
    <n v="54"/>
    <n v="595"/>
    <n v="0"/>
    <n v="91"/>
    <n v="14"/>
    <n v="78"/>
    <n v="118"/>
    <n v="40"/>
    <d v="2024-02-25T15:00:00"/>
    <s v="PT30M"/>
    <x v="4"/>
    <x v="3"/>
    <n v="0"/>
  </r>
  <r>
    <n v="13"/>
    <n v="24"/>
    <n v="4"/>
    <n v="0"/>
    <n v="0"/>
    <n v="115"/>
    <n v="0"/>
    <n v="13"/>
    <n v="12"/>
    <n v="88"/>
    <n v="106"/>
    <n v="45"/>
    <d v="2024-02-25T16:00:00"/>
    <s v="PT30M"/>
    <x v="4"/>
    <x v="4"/>
    <n v="0"/>
  </r>
  <r>
    <n v="0"/>
    <n v="0"/>
    <n v="0"/>
    <n v="0"/>
    <n v="0"/>
    <n v="0"/>
    <n v="0"/>
    <n v="0"/>
    <n v="10"/>
    <n v="98"/>
    <n v="96"/>
    <n v="48"/>
    <d v="2024-02-25T17:00:00"/>
    <s v="PT30M"/>
    <x v="4"/>
    <x v="5"/>
    <n v="0"/>
  </r>
  <r>
    <n v="0"/>
    <n v="0"/>
    <n v="0"/>
    <n v="0"/>
    <n v="0"/>
    <n v="0"/>
    <n v="0"/>
    <n v="0"/>
    <n v="10"/>
    <n v="108"/>
    <n v="85"/>
    <n v="51"/>
    <d v="2024-02-25T18:00:00"/>
    <s v="PT30M"/>
    <x v="4"/>
    <x v="6"/>
    <n v="0"/>
  </r>
  <r>
    <n v="0"/>
    <n v="0"/>
    <n v="0"/>
    <n v="0"/>
    <n v="0"/>
    <n v="0"/>
    <n v="0"/>
    <n v="0"/>
    <n v="9"/>
    <n v="118"/>
    <n v="73"/>
    <n v="54"/>
    <d v="2024-02-25T19:00:00"/>
    <s v="PT30M"/>
    <x v="4"/>
    <x v="7"/>
    <n v="0"/>
  </r>
  <r>
    <n v="0"/>
    <n v="0"/>
    <n v="0"/>
    <n v="0"/>
    <n v="0"/>
    <n v="0"/>
    <n v="0"/>
    <n v="0"/>
    <n v="9"/>
    <n v="128"/>
    <n v="59"/>
    <n v="55"/>
    <d v="2024-02-25T20:00:00"/>
    <s v="PT30M"/>
    <x v="4"/>
    <x v="8"/>
    <n v="0"/>
  </r>
  <r>
    <n v="0"/>
    <n v="0"/>
    <n v="0"/>
    <n v="0"/>
    <n v="0"/>
    <n v="0"/>
    <n v="0"/>
    <n v="0"/>
    <n v="9"/>
    <n v="136"/>
    <n v="43"/>
    <n v="56"/>
    <d v="2024-02-25T21:00:00"/>
    <s v="PT30M"/>
    <x v="4"/>
    <x v="9"/>
    <n v="0"/>
  </r>
  <r>
    <n v="0"/>
    <n v="0"/>
    <n v="0"/>
    <n v="0"/>
    <n v="0"/>
    <n v="0"/>
    <n v="0"/>
    <n v="0"/>
    <n v="9"/>
    <n v="142"/>
    <n v="22"/>
    <n v="57"/>
    <d v="2024-02-25T22:00:00"/>
    <s v="PT30M"/>
    <x v="5"/>
    <x v="10"/>
    <n v="0"/>
  </r>
  <r>
    <n v="0"/>
    <n v="0"/>
    <n v="0"/>
    <n v="0"/>
    <n v="0"/>
    <n v="0"/>
    <n v="0"/>
    <n v="0"/>
    <n v="9"/>
    <n v="143"/>
    <n v="-2"/>
    <n v="59"/>
    <d v="2024-02-25T23:00:00"/>
    <s v="PT30M"/>
    <x v="5"/>
    <x v="11"/>
    <n v="0"/>
  </r>
  <r>
    <n v="0"/>
    <n v="0"/>
    <n v="0"/>
    <n v="0"/>
    <n v="0"/>
    <n v="0"/>
    <n v="0"/>
    <n v="0"/>
    <n v="9"/>
    <n v="141"/>
    <n v="-26"/>
    <n v="61"/>
    <n v="45348"/>
    <s v="PT30M"/>
    <x v="5"/>
    <x v="12"/>
    <n v="0"/>
  </r>
  <r>
    <n v="0"/>
    <n v="0"/>
    <n v="0"/>
    <n v="0"/>
    <n v="0"/>
    <n v="0"/>
    <n v="0"/>
    <n v="0"/>
    <n v="9"/>
    <n v="134"/>
    <n v="-46"/>
    <n v="62"/>
    <d v="2024-02-26T01:00:00"/>
    <s v="PT30M"/>
    <x v="5"/>
    <x v="13"/>
    <n v="0"/>
  </r>
  <r>
    <n v="0"/>
    <n v="0"/>
    <n v="0"/>
    <n v="0"/>
    <n v="0"/>
    <n v="0"/>
    <n v="0"/>
    <n v="0"/>
    <n v="9"/>
    <n v="126"/>
    <n v="-62"/>
    <n v="63"/>
    <d v="2024-02-26T02:00:00"/>
    <s v="PT30M"/>
    <x v="5"/>
    <x v="14"/>
    <n v="0"/>
  </r>
  <r>
    <n v="0"/>
    <n v="0"/>
    <n v="0"/>
    <n v="0"/>
    <n v="0"/>
    <n v="0"/>
    <n v="0"/>
    <n v="0"/>
    <n v="9"/>
    <n v="116"/>
    <n v="-75"/>
    <n v="63"/>
    <d v="2024-02-26T03:00:00"/>
    <s v="PT30M"/>
    <x v="5"/>
    <x v="15"/>
    <n v="0"/>
  </r>
  <r>
    <n v="0"/>
    <n v="0"/>
    <n v="0"/>
    <n v="0"/>
    <n v="0"/>
    <n v="0"/>
    <n v="0"/>
    <n v="0"/>
    <n v="8"/>
    <n v="106"/>
    <n v="-87"/>
    <n v="63"/>
    <d v="2024-02-26T04:00:00"/>
    <s v="PT30M"/>
    <x v="5"/>
    <x v="16"/>
    <n v="0"/>
  </r>
  <r>
    <n v="0"/>
    <n v="0"/>
    <n v="0"/>
    <n v="0"/>
    <n v="0"/>
    <n v="0"/>
    <n v="0"/>
    <n v="0"/>
    <n v="8"/>
    <n v="96"/>
    <n v="-98"/>
    <n v="63"/>
    <d v="2024-02-26T05:00:00"/>
    <s v="PT30M"/>
    <x v="5"/>
    <x v="17"/>
    <n v="0"/>
  </r>
  <r>
    <n v="16"/>
    <n v="38"/>
    <n v="3"/>
    <n v="0"/>
    <n v="0"/>
    <n v="70"/>
    <n v="0"/>
    <n v="16"/>
    <n v="8"/>
    <n v="86"/>
    <n v="-108"/>
    <n v="63"/>
    <d v="2024-02-26T06:00:00"/>
    <s v="PT30M"/>
    <x v="5"/>
    <x v="18"/>
    <n v="0"/>
  </r>
  <r>
    <n v="86"/>
    <n v="165"/>
    <n v="23"/>
    <n v="0"/>
    <n v="0"/>
    <n v="293"/>
    <n v="0"/>
    <n v="86"/>
    <n v="9"/>
    <n v="76"/>
    <n v="-120"/>
    <n v="56"/>
    <d v="2024-02-26T07:00:00"/>
    <s v="PT30M"/>
    <x v="5"/>
    <x v="19"/>
    <n v="0"/>
  </r>
  <r>
    <n v="158"/>
    <n v="331"/>
    <n v="40"/>
    <n v="0"/>
    <n v="0"/>
    <n v="591"/>
    <n v="0"/>
    <n v="158"/>
    <n v="10"/>
    <n v="68"/>
    <n v="-133"/>
    <n v="54"/>
    <d v="2024-02-26T08:00:00"/>
    <s v="PT30M"/>
    <x v="5"/>
    <x v="20"/>
    <n v="0"/>
  </r>
  <r>
    <n v="218"/>
    <n v="469"/>
    <n v="54"/>
    <n v="0"/>
    <n v="0"/>
    <n v="765"/>
    <n v="0"/>
    <n v="218"/>
    <n v="12"/>
    <n v="61"/>
    <n v="-147"/>
    <n v="54"/>
    <d v="2024-02-26T09:00:00"/>
    <s v="PT30M"/>
    <x v="5"/>
    <x v="21"/>
    <n v="0"/>
  </r>
  <r>
    <n v="237"/>
    <n v="520"/>
    <n v="54"/>
    <n v="0"/>
    <n v="0"/>
    <n v="703"/>
    <n v="0"/>
    <n v="237"/>
    <n v="13"/>
    <n v="57"/>
    <n v="-164"/>
    <n v="57"/>
    <d v="2024-02-26T10:00:00"/>
    <s v="PT30M"/>
    <x v="5"/>
    <x v="22"/>
    <n v="0"/>
  </r>
  <r>
    <n v="217"/>
    <n v="495"/>
    <n v="40"/>
    <n v="0"/>
    <n v="0"/>
    <n v="541"/>
    <n v="0"/>
    <n v="217"/>
    <n v="13"/>
    <n v="55"/>
    <n v="178"/>
    <n v="62"/>
    <d v="2024-02-26T11:00:00"/>
    <s v="PT30M"/>
    <x v="5"/>
    <x v="23"/>
    <n v="0"/>
  </r>
  <r>
    <n v="177"/>
    <n v="425"/>
    <n v="26"/>
    <n v="0"/>
    <n v="0"/>
    <n v="388"/>
    <n v="0"/>
    <n v="177"/>
    <n v="14"/>
    <n v="57"/>
    <n v="161"/>
    <n v="67"/>
    <d v="2024-02-26T12:00:00"/>
    <s v="PT30M"/>
    <x v="5"/>
    <x v="0"/>
    <n v="0"/>
  </r>
  <r>
    <n v="152"/>
    <n v="373"/>
    <n v="20"/>
    <n v="0"/>
    <n v="0"/>
    <n v="416"/>
    <n v="0"/>
    <n v="152"/>
    <n v="14"/>
    <n v="62"/>
    <n v="144"/>
    <n v="66"/>
    <d v="2024-02-26T13:00:00"/>
    <s v="PT30M"/>
    <x v="5"/>
    <x v="1"/>
    <n v="0"/>
  </r>
  <r>
    <n v="120"/>
    <n v="278"/>
    <n v="16"/>
    <n v="0"/>
    <n v="0"/>
    <n v="421"/>
    <n v="0"/>
    <n v="120"/>
    <n v="14"/>
    <n v="69"/>
    <n v="130"/>
    <n v="62"/>
    <d v="2024-02-26T14:00:00"/>
    <s v="PT30M"/>
    <x v="5"/>
    <x v="2"/>
    <n v="0"/>
  </r>
  <r>
    <n v="64"/>
    <n v="144"/>
    <n v="9"/>
    <n v="0"/>
    <n v="0"/>
    <n v="306"/>
    <n v="0"/>
    <n v="64"/>
    <n v="14"/>
    <n v="78"/>
    <n v="117"/>
    <n v="61"/>
    <d v="2024-02-26T15:00:00"/>
    <s v="PT30M"/>
    <x v="5"/>
    <x v="3"/>
    <n v="0"/>
  </r>
  <r>
    <n v="9"/>
    <n v="23"/>
    <n v="1"/>
    <n v="0"/>
    <n v="0"/>
    <n v="67"/>
    <n v="0"/>
    <n v="9"/>
    <n v="13"/>
    <n v="87"/>
    <n v="106"/>
    <n v="64"/>
    <d v="2024-02-26T16:00:00"/>
    <s v="PT30M"/>
    <x v="5"/>
    <x v="4"/>
    <n v="0"/>
  </r>
  <r>
    <n v="0"/>
    <n v="0"/>
    <n v="0"/>
    <n v="0"/>
    <n v="0"/>
    <n v="0"/>
    <n v="0"/>
    <n v="0"/>
    <n v="12"/>
    <n v="98"/>
    <n v="95"/>
    <n v="60"/>
    <d v="2024-02-26T17:00:00"/>
    <s v="PT30M"/>
    <x v="5"/>
    <x v="5"/>
    <n v="0"/>
  </r>
  <r>
    <n v="0"/>
    <n v="0"/>
    <n v="0"/>
    <n v="0"/>
    <n v="0"/>
    <n v="0"/>
    <n v="0"/>
    <n v="0"/>
    <n v="11"/>
    <n v="108"/>
    <n v="84"/>
    <n v="56"/>
    <d v="2024-02-26T18:00:00"/>
    <s v="PT30M"/>
    <x v="5"/>
    <x v="6"/>
    <n v="0"/>
  </r>
  <r>
    <n v="0"/>
    <n v="0"/>
    <n v="0"/>
    <n v="0"/>
    <n v="0"/>
    <n v="0"/>
    <n v="0"/>
    <n v="0"/>
    <n v="10"/>
    <n v="118"/>
    <n v="73"/>
    <n v="54"/>
    <d v="2024-02-26T19:00:00"/>
    <s v="PT30M"/>
    <x v="5"/>
    <x v="7"/>
    <n v="0"/>
  </r>
  <r>
    <n v="0"/>
    <n v="0"/>
    <n v="0"/>
    <n v="0"/>
    <n v="0"/>
    <n v="0"/>
    <n v="0"/>
    <n v="0"/>
    <n v="10"/>
    <n v="128"/>
    <n v="59"/>
    <n v="51"/>
    <d v="2024-02-26T20:00:00"/>
    <s v="PT30M"/>
    <x v="5"/>
    <x v="8"/>
    <n v="0"/>
  </r>
  <r>
    <n v="0"/>
    <n v="0"/>
    <n v="0"/>
    <n v="0"/>
    <n v="0"/>
    <n v="0"/>
    <n v="0"/>
    <n v="0"/>
    <n v="9"/>
    <n v="136"/>
    <n v="42"/>
    <n v="49"/>
    <d v="2024-02-26T21:00:00"/>
    <s v="PT30M"/>
    <x v="5"/>
    <x v="9"/>
    <n v="0"/>
  </r>
  <r>
    <n v="0"/>
    <n v="0"/>
    <n v="0"/>
    <n v="0"/>
    <n v="0"/>
    <n v="0"/>
    <n v="0"/>
    <n v="0"/>
    <n v="9"/>
    <n v="141"/>
    <n v="22"/>
    <n v="49"/>
    <d v="2024-02-26T22:00:00"/>
    <s v="PT30M"/>
    <x v="6"/>
    <x v="10"/>
    <n v="0"/>
  </r>
  <r>
    <n v="0"/>
    <n v="0"/>
    <n v="0"/>
    <n v="0"/>
    <n v="0"/>
    <n v="0"/>
    <n v="0"/>
    <n v="0"/>
    <n v="9"/>
    <n v="143"/>
    <n v="-2"/>
    <n v="51"/>
    <d v="2024-02-26T23:00:00"/>
    <s v="PT30M"/>
    <x v="6"/>
    <x v="11"/>
    <n v="0"/>
  </r>
  <r>
    <n v="0"/>
    <n v="0"/>
    <n v="0"/>
    <n v="0"/>
    <n v="0"/>
    <n v="0"/>
    <n v="0"/>
    <n v="0"/>
    <n v="9"/>
    <n v="140"/>
    <n v="-26"/>
    <n v="51"/>
    <n v="45349"/>
    <s v="PT30M"/>
    <x v="6"/>
    <x v="12"/>
    <n v="0"/>
  </r>
  <r>
    <n v="0"/>
    <n v="0"/>
    <n v="0"/>
    <n v="0"/>
    <n v="0"/>
    <n v="0"/>
    <n v="0"/>
    <n v="0"/>
    <n v="9"/>
    <n v="134"/>
    <n v="-46"/>
    <n v="49"/>
    <d v="2024-02-27T01:00:00"/>
    <s v="PT30M"/>
    <x v="6"/>
    <x v="13"/>
    <n v="0"/>
  </r>
  <r>
    <n v="0"/>
    <n v="0"/>
    <n v="0"/>
    <n v="0"/>
    <n v="0"/>
    <n v="0"/>
    <n v="0"/>
    <n v="0"/>
    <n v="8"/>
    <n v="126"/>
    <n v="-62"/>
    <n v="47"/>
    <d v="2024-02-27T02:00:00"/>
    <s v="PT30M"/>
    <x v="6"/>
    <x v="14"/>
    <n v="0"/>
  </r>
  <r>
    <n v="0"/>
    <n v="0"/>
    <n v="0"/>
    <n v="0"/>
    <n v="0"/>
    <n v="0"/>
    <n v="0"/>
    <n v="0"/>
    <n v="8"/>
    <n v="116"/>
    <n v="-75"/>
    <n v="44"/>
    <d v="2024-02-27T03:00:00"/>
    <s v="PT30M"/>
    <x v="6"/>
    <x v="15"/>
    <n v="0"/>
  </r>
  <r>
    <n v="0"/>
    <n v="0"/>
    <n v="0"/>
    <n v="0"/>
    <n v="0"/>
    <n v="0"/>
    <n v="0"/>
    <n v="0"/>
    <n v="8"/>
    <n v="106"/>
    <n v="-87"/>
    <n v="41"/>
    <d v="2024-02-27T04:00:00"/>
    <s v="PT30M"/>
    <x v="6"/>
    <x v="16"/>
    <n v="0"/>
  </r>
  <r>
    <n v="0"/>
    <n v="0"/>
    <n v="0"/>
    <n v="0"/>
    <n v="0"/>
    <n v="0"/>
    <n v="0"/>
    <n v="0"/>
    <n v="8"/>
    <n v="95"/>
    <n v="-97"/>
    <n v="37"/>
    <d v="2024-02-27T05:00:00"/>
    <s v="PT30M"/>
    <x v="6"/>
    <x v="17"/>
    <n v="0"/>
  </r>
  <r>
    <n v="29"/>
    <n v="44"/>
    <n v="6"/>
    <n v="0"/>
    <n v="0"/>
    <n v="138"/>
    <n v="0"/>
    <n v="29"/>
    <n v="8"/>
    <n v="85"/>
    <n v="-108"/>
    <n v="34"/>
    <d v="2024-02-27T06:00:00"/>
    <s v="PT30M"/>
    <x v="6"/>
    <x v="18"/>
    <n v="0"/>
  </r>
  <r>
    <n v="130"/>
    <n v="188"/>
    <n v="35"/>
    <n v="16"/>
    <n v="63"/>
    <n v="449"/>
    <n v="0"/>
    <n v="114"/>
    <n v="8"/>
    <n v="76"/>
    <n v="-120"/>
    <n v="31"/>
    <d v="2024-02-27T07:00:00"/>
    <s v="PT30M"/>
    <x v="6"/>
    <x v="19"/>
    <n v="0"/>
  </r>
  <r>
    <n v="250"/>
    <n v="339"/>
    <n v="58"/>
    <n v="73"/>
    <n v="187"/>
    <n v="604"/>
    <n v="0"/>
    <n v="178"/>
    <n v="8"/>
    <n v="67"/>
    <n v="-133"/>
    <n v="26"/>
    <d v="2024-02-27T08:00:00"/>
    <s v="PT30M"/>
    <x v="6"/>
    <x v="20"/>
    <n v="0"/>
  </r>
  <r>
    <n v="348"/>
    <n v="464"/>
    <n v="77"/>
    <n v="126"/>
    <n v="257"/>
    <n v="701"/>
    <n v="0"/>
    <n v="221"/>
    <n v="8"/>
    <n v="61"/>
    <n v="-147"/>
    <n v="25"/>
    <d v="2024-02-27T09:00:00"/>
    <s v="PT30M"/>
    <x v="6"/>
    <x v="21"/>
    <n v="0"/>
  </r>
  <r>
    <n v="419"/>
    <n v="543"/>
    <n v="96"/>
    <n v="177"/>
    <n v="319"/>
    <n v="753"/>
    <n v="0"/>
    <n v="241"/>
    <n v="9"/>
    <n v="56"/>
    <n v="-164"/>
    <n v="23"/>
    <d v="2024-02-27T10:00:00"/>
    <s v="PT30M"/>
    <x v="6"/>
    <x v="22"/>
    <n v="0"/>
  </r>
  <r>
    <n v="447"/>
    <n v="566"/>
    <n v="109"/>
    <n v="204"/>
    <n v="355"/>
    <n v="764"/>
    <n v="0"/>
    <n v="243"/>
    <n v="9"/>
    <n v="55"/>
    <n v="178"/>
    <n v="21"/>
    <d v="2024-02-27T11:00:00"/>
    <s v="PT30M"/>
    <x v="6"/>
    <x v="23"/>
    <n v="0"/>
  </r>
  <r>
    <n v="438"/>
    <n v="537"/>
    <n v="115"/>
    <n v="220"/>
    <n v="403"/>
    <n v="769"/>
    <n v="0"/>
    <n v="218"/>
    <n v="10"/>
    <n v="57"/>
    <n v="160"/>
    <n v="18"/>
    <d v="2024-02-27T12:00:00"/>
    <s v="PT30M"/>
    <x v="6"/>
    <x v="0"/>
    <n v="0"/>
  </r>
  <r>
    <n v="396"/>
    <n v="456"/>
    <n v="112"/>
    <n v="230"/>
    <n v="485"/>
    <n v="749"/>
    <n v="0"/>
    <n v="166"/>
    <n v="10"/>
    <n v="62"/>
    <n v="144"/>
    <n v="13"/>
    <d v="2024-02-27T13:00:00"/>
    <s v="PT30M"/>
    <x v="6"/>
    <x v="1"/>
    <n v="0"/>
  </r>
  <r>
    <n v="293"/>
    <n v="329"/>
    <n v="95"/>
    <n v="169"/>
    <n v="467"/>
    <n v="679"/>
    <n v="0"/>
    <n v="123"/>
    <n v="10"/>
    <n v="69"/>
    <n v="130"/>
    <n v="11"/>
    <d v="2024-02-27T14:00:00"/>
    <s v="PT30M"/>
    <x v="6"/>
    <x v="2"/>
    <n v="0"/>
  </r>
  <r>
    <n v="152"/>
    <n v="176"/>
    <n v="56"/>
    <n v="72"/>
    <n v="333"/>
    <n v="551"/>
    <n v="0"/>
    <n v="80"/>
    <n v="11"/>
    <n v="77"/>
    <n v="117"/>
    <n v="14"/>
    <d v="2024-02-27T15:00:00"/>
    <s v="PT30M"/>
    <x v="6"/>
    <x v="3"/>
    <n v="0"/>
  </r>
  <r>
    <n v="26"/>
    <n v="29"/>
    <n v="8"/>
    <n v="7"/>
    <n v="85"/>
    <n v="145"/>
    <n v="0"/>
    <n v="19"/>
    <n v="10"/>
    <n v="87"/>
    <n v="106"/>
    <n v="10"/>
    <d v="2024-02-27T16:00:00"/>
    <s v="PT30M"/>
    <x v="6"/>
    <x v="4"/>
    <n v="0"/>
  </r>
  <r>
    <n v="0"/>
    <n v="0"/>
    <n v="0"/>
    <n v="0"/>
    <n v="0"/>
    <n v="0"/>
    <n v="0"/>
    <n v="0"/>
    <n v="8"/>
    <n v="97"/>
    <n v="95"/>
    <n v="10"/>
    <d v="2024-02-27T17:00:00"/>
    <s v="PT30M"/>
    <x v="6"/>
    <x v="5"/>
    <n v="0"/>
  </r>
  <r>
    <n v="0"/>
    <n v="0"/>
    <n v="0"/>
    <n v="0"/>
    <n v="0"/>
    <n v="0"/>
    <n v="0"/>
    <n v="0"/>
    <n v="7"/>
    <n v="108"/>
    <n v="84"/>
    <n v="10"/>
    <d v="2024-02-27T18:00:00"/>
    <s v="PT30M"/>
    <x v="6"/>
    <x v="6"/>
    <n v="0"/>
  </r>
  <r>
    <n v="0"/>
    <n v="0"/>
    <n v="0"/>
    <n v="0"/>
    <n v="0"/>
    <n v="0"/>
    <n v="0"/>
    <n v="0"/>
    <n v="6"/>
    <n v="118"/>
    <n v="72"/>
    <n v="10"/>
    <d v="2024-02-27T19:00:00"/>
    <s v="PT30M"/>
    <x v="6"/>
    <x v="7"/>
    <n v="0"/>
  </r>
  <r>
    <n v="0"/>
    <n v="0"/>
    <n v="0"/>
    <n v="0"/>
    <n v="0"/>
    <n v="0"/>
    <n v="0"/>
    <n v="0"/>
    <n v="5"/>
    <n v="127"/>
    <n v="59"/>
    <n v="10"/>
    <d v="2024-02-27T20:00:00"/>
    <s v="PT30M"/>
    <x v="6"/>
    <x v="8"/>
    <n v="0"/>
  </r>
  <r>
    <n v="0"/>
    <n v="0"/>
    <n v="0"/>
    <n v="0"/>
    <n v="0"/>
    <n v="0"/>
    <n v="0"/>
    <n v="0"/>
    <n v="5"/>
    <n v="135"/>
    <n v="42"/>
    <n v="10"/>
    <d v="2024-02-27T21:00:00"/>
    <s v="PT30M"/>
    <x v="6"/>
    <x v="9"/>
    <n v="0"/>
  </r>
  <r>
    <n v="0"/>
    <n v="0"/>
    <n v="0"/>
    <n v="0"/>
    <n v="0"/>
    <n v="0"/>
    <n v="0"/>
    <n v="0"/>
    <n v="4"/>
    <n v="141"/>
    <n v="21"/>
    <n v="10"/>
    <d v="2024-02-27T22:00:00"/>
    <s v="PT30M"/>
    <x v="7"/>
    <x v="10"/>
    <n v="0"/>
  </r>
  <r>
    <n v="0"/>
    <n v="0"/>
    <n v="0"/>
    <n v="0"/>
    <n v="0"/>
    <n v="0"/>
    <n v="0"/>
    <n v="0"/>
    <n v="4"/>
    <n v="143"/>
    <n v="-2"/>
    <n v="9"/>
    <d v="2024-02-27T23:00:00"/>
    <s v="PT30M"/>
    <x v="7"/>
    <x v="11"/>
    <n v="0"/>
  </r>
  <r>
    <n v="0"/>
    <n v="0"/>
    <n v="0"/>
    <n v="0"/>
    <n v="0"/>
    <n v="0"/>
    <n v="0"/>
    <n v="0"/>
    <n v="3"/>
    <n v="140"/>
    <n v="-26"/>
    <n v="7"/>
    <n v="45350"/>
    <s v="PT30M"/>
    <x v="7"/>
    <x v="12"/>
    <n v="0"/>
  </r>
  <r>
    <n v="0"/>
    <n v="0"/>
    <n v="0"/>
    <n v="0"/>
    <n v="0"/>
    <n v="0"/>
    <n v="0"/>
    <n v="0"/>
    <n v="2"/>
    <n v="134"/>
    <n v="-46"/>
    <n v="6"/>
    <d v="2024-02-28T01:00:00"/>
    <s v="PT30M"/>
    <x v="7"/>
    <x v="13"/>
    <n v="0"/>
  </r>
  <r>
    <n v="0"/>
    <n v="0"/>
    <n v="0"/>
    <n v="0"/>
    <n v="0"/>
    <n v="0"/>
    <n v="0"/>
    <n v="0"/>
    <n v="2"/>
    <n v="125"/>
    <n v="-62"/>
    <n v="5"/>
    <d v="2024-02-28T02:00:00"/>
    <s v="PT30M"/>
    <x v="7"/>
    <x v="14"/>
    <n v="0"/>
  </r>
  <r>
    <n v="0"/>
    <n v="0"/>
    <n v="0"/>
    <n v="0"/>
    <n v="0"/>
    <n v="0"/>
    <n v="0"/>
    <n v="0"/>
    <n v="2"/>
    <n v="116"/>
    <n v="-75"/>
    <n v="5"/>
    <d v="2024-02-28T03:00:00"/>
    <s v="PT30M"/>
    <x v="7"/>
    <x v="15"/>
    <n v="0"/>
  </r>
  <r>
    <n v="0"/>
    <n v="0"/>
    <n v="0"/>
    <n v="0"/>
    <n v="0"/>
    <n v="0"/>
    <n v="0"/>
    <n v="0"/>
    <n v="2"/>
    <n v="105"/>
    <n v="-86"/>
    <n v="5"/>
    <d v="2024-02-28T04:00:00"/>
    <s v="PT30M"/>
    <x v="7"/>
    <x v="16"/>
    <n v="0"/>
  </r>
  <r>
    <n v="0"/>
    <n v="0"/>
    <n v="0"/>
    <n v="0"/>
    <n v="0"/>
    <n v="0"/>
    <n v="0"/>
    <n v="0"/>
    <n v="2"/>
    <n v="95"/>
    <n v="-97"/>
    <n v="4"/>
    <d v="2024-02-28T05:00:00"/>
    <s v="PT30M"/>
    <x v="7"/>
    <x v="17"/>
    <n v="0"/>
  </r>
  <r>
    <n v="59"/>
    <n v="59"/>
    <n v="21"/>
    <n v="30"/>
    <n v="297"/>
    <n v="297"/>
    <n v="0"/>
    <n v="28"/>
    <n v="2"/>
    <n v="85"/>
    <n v="-108"/>
    <n v="0"/>
    <d v="2024-02-28T06:00:00"/>
    <s v="PT30M"/>
    <x v="7"/>
    <x v="18"/>
    <n v="0"/>
  </r>
  <r>
    <n v="222"/>
    <n v="222"/>
    <n v="94"/>
    <n v="163"/>
    <n v="643"/>
    <n v="643"/>
    <n v="0"/>
    <n v="60"/>
    <n v="3"/>
    <n v="75"/>
    <n v="-119"/>
    <n v="0"/>
    <d v="2024-02-28T07:00:00"/>
    <s v="PT30M"/>
    <x v="7"/>
    <x v="19"/>
    <n v="0"/>
  </r>
  <r>
    <n v="383"/>
    <n v="383"/>
    <n v="159"/>
    <n v="306"/>
    <n v="783"/>
    <n v="783"/>
    <n v="0"/>
    <n v="76"/>
    <n v="4"/>
    <n v="67"/>
    <n v="-132"/>
    <n v="0"/>
    <d v="2024-02-28T08:00:00"/>
    <s v="PT30M"/>
    <x v="7"/>
    <x v="20"/>
    <n v="0"/>
  </r>
  <r>
    <n v="509"/>
    <n v="509"/>
    <n v="213"/>
    <n v="422"/>
    <n v="851"/>
    <n v="851"/>
    <n v="0"/>
    <n v="87"/>
    <n v="6"/>
    <n v="60"/>
    <n v="-147"/>
    <n v="0"/>
    <d v="2024-02-28T09:00:00"/>
    <s v="PT30M"/>
    <x v="7"/>
    <x v="21"/>
    <n v="0"/>
  </r>
  <r>
    <n v="585"/>
    <n v="585"/>
    <n v="252"/>
    <n v="488"/>
    <n v="871"/>
    <n v="871"/>
    <n v="0"/>
    <n v="96"/>
    <n v="7"/>
    <n v="56"/>
    <n v="-164"/>
    <n v="0"/>
    <d v="2024-02-28T10:00:00"/>
    <s v="PT30M"/>
    <x v="7"/>
    <x v="22"/>
    <n v="0"/>
  </r>
  <r>
    <n v="602"/>
    <n v="602"/>
    <n v="261"/>
    <n v="495"/>
    <n v="854"/>
    <n v="854"/>
    <n v="0"/>
    <n v="107"/>
    <n v="8"/>
    <n v="55"/>
    <n v="178"/>
    <n v="0"/>
    <d v="2024-02-28T11:00:00"/>
    <s v="PT30M"/>
    <x v="7"/>
    <x v="23"/>
    <n v="0"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  <r>
    <m/>
    <m/>
    <m/>
    <m/>
    <m/>
    <m/>
    <m/>
    <m/>
    <m/>
    <m/>
    <m/>
    <m/>
    <m/>
    <m/>
    <x v="8"/>
    <x v="2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2ADA74-DD37-4A26-82BC-0177012CDACE}" name="PivotTable1" cacheId="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172" firstHeaderRow="0" firstDataRow="1" firstDataCol="2"/>
  <pivotFields count="17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8">
        <item x="8"/>
        <item m="1" x="211"/>
        <item m="1" x="185"/>
        <item m="1" x="157"/>
        <item m="1" x="236"/>
        <item m="1" x="209"/>
        <item m="1" x="183"/>
        <item m="1" x="164"/>
        <item m="1" x="242"/>
        <item m="1" x="215"/>
        <item m="1" x="189"/>
        <item m="1" x="161"/>
        <item m="1" x="240"/>
        <item m="1" x="213"/>
        <item m="1" x="187"/>
        <item m="1" x="159"/>
        <item m="1" x="238"/>
        <item m="1" x="210"/>
        <item m="1" x="184"/>
        <item m="1" x="156"/>
        <item m="1" x="235"/>
        <item m="1" x="208"/>
        <item m="1" x="182"/>
        <item m="1" x="155"/>
        <item m="1" x="234"/>
        <item m="1" x="207"/>
        <item m="1" x="180"/>
        <item m="1" x="153"/>
        <item m="1" x="232"/>
        <item m="1" x="205"/>
        <item m="1" x="178"/>
        <item m="1" x="151"/>
        <item m="1" x="230"/>
        <item m="1" x="203"/>
        <item m="1" x="176"/>
        <item m="1" x="149"/>
        <item m="1" x="228"/>
        <item m="1" x="181"/>
        <item m="1" x="154"/>
        <item m="1" x="233"/>
        <item m="1" x="206"/>
        <item m="1" x="179"/>
        <item m="1" x="152"/>
        <item m="1" x="231"/>
        <item m="1" x="204"/>
        <item m="1" x="177"/>
        <item m="1" x="150"/>
        <item m="1" x="229"/>
        <item m="1" x="202"/>
        <item m="1" x="175"/>
        <item m="1" x="148"/>
        <item m="1" x="227"/>
        <item m="1" x="201"/>
        <item m="1" x="174"/>
        <item m="1" x="147"/>
        <item m="1" x="226"/>
        <item m="1" x="199"/>
        <item m="1" x="172"/>
        <item m="1" x="145"/>
        <item m="1" x="224"/>
        <item m="1" x="197"/>
        <item m="1" x="170"/>
        <item m="1" x="143"/>
        <item m="1" x="222"/>
        <item m="1" x="195"/>
        <item m="1" x="168"/>
        <item m="1" x="246"/>
        <item m="1" x="220"/>
        <item m="1" x="200"/>
        <item m="1" x="173"/>
        <item m="1" x="146"/>
        <item m="1" x="225"/>
        <item m="1" x="198"/>
        <item m="1" x="171"/>
        <item m="1" x="144"/>
        <item m="1" x="223"/>
        <item m="1" x="196"/>
        <item m="1" x="169"/>
        <item m="1" x="247"/>
        <item m="1" x="221"/>
        <item m="1" x="194"/>
        <item m="1" x="167"/>
        <item m="1" x="245"/>
        <item m="1" x="219"/>
        <item m="1" x="193"/>
        <item m="1" x="166"/>
        <item m="1" x="244"/>
        <item m="1" x="217"/>
        <item m="1" x="191"/>
        <item m="1" x="163"/>
        <item m="1" x="241"/>
        <item m="1" x="214"/>
        <item m="1" x="188"/>
        <item m="1" x="160"/>
        <item m="1" x="239"/>
        <item m="1" x="212"/>
        <item m="1" x="186"/>
        <item m="1" x="158"/>
        <item m="1" x="237"/>
        <item m="1" x="218"/>
        <item m="1" x="192"/>
        <item m="1" x="165"/>
        <item m="1" x="243"/>
        <item m="1" x="216"/>
        <item m="1" x="190"/>
        <item m="1" x="162"/>
        <item m="1" x="140"/>
        <item m="1" x="141"/>
        <item m="1" x="142"/>
        <item m="1" x="139"/>
        <item m="1" x="138"/>
        <item m="1" x="137"/>
        <item m="1" x="136"/>
        <item m="1" x="135"/>
        <item m="1" x="133"/>
        <item m="1" x="134"/>
        <item m="1" x="132"/>
        <item m="1" x="131"/>
        <item m="1" x="130"/>
        <item m="1" x="129"/>
        <item m="1" x="128"/>
        <item m="1" x="126"/>
        <item m="1" x="127"/>
        <item m="1" x="125"/>
        <item m="1" x="124"/>
        <item m="1" x="120"/>
        <item m="1" x="121"/>
        <item m="1" x="122"/>
        <item m="1" x="123"/>
        <item m="1" x="119"/>
        <item m="1" x="118"/>
        <item m="1" x="117"/>
        <item m="1" x="116"/>
        <item m="1" x="115"/>
        <item m="1" x="112"/>
        <item m="1" x="113"/>
        <item m="1" x="114"/>
        <item m="1" x="111"/>
        <item m="1" x="110"/>
        <item m="1" x="109"/>
        <item m="1" x="108"/>
        <item m="1" x="105"/>
        <item m="1" x="106"/>
        <item m="1" x="107"/>
        <item m="1" x="104"/>
        <item m="1" x="103"/>
        <item m="1" x="102"/>
        <item m="1" x="101"/>
        <item m="1" x="97"/>
        <item m="1" x="98"/>
        <item m="1" x="99"/>
        <item m="1" x="100"/>
        <item m="1" x="94"/>
        <item m="1" x="95"/>
        <item m="1" x="96"/>
        <item m="1" x="91"/>
        <item m="1" x="92"/>
        <item m="1" x="93"/>
        <item m="1" x="90"/>
        <item m="1" x="85"/>
        <item m="1" x="86"/>
        <item m="1" x="87"/>
        <item m="1" x="88"/>
        <item m="1" x="89"/>
        <item m="1" x="84"/>
        <item m="1" x="81"/>
        <item m="1" x="82"/>
        <item m="1" x="83"/>
        <item m="1" x="76"/>
        <item m="1" x="77"/>
        <item m="1" x="78"/>
        <item m="1" x="79"/>
        <item m="1" x="80"/>
        <item m="1" x="70"/>
        <item m="1" x="71"/>
        <item m="1" x="72"/>
        <item m="1" x="73"/>
        <item m="1" x="74"/>
        <item m="1" x="75"/>
        <item m="1" x="67"/>
        <item m="1" x="68"/>
        <item m="1" x="69"/>
        <item m="1" x="66"/>
        <item m="1" x="58"/>
        <item m="1" x="59"/>
        <item m="1" x="60"/>
        <item m="1" x="61"/>
        <item m="1" x="62"/>
        <item m="1" x="63"/>
        <item m="1" x="64"/>
        <item m="1" x="65"/>
        <item m="1" x="54"/>
        <item m="1" x="55"/>
        <item m="1" x="56"/>
        <item m="1" x="57"/>
        <item m="1" x="46"/>
        <item m="1" x="47"/>
        <item m="1" x="48"/>
        <item m="1" x="49"/>
        <item m="1" x="50"/>
        <item m="1" x="51"/>
        <item m="1" x="52"/>
        <item m="1" x="53"/>
        <item m="1" x="43"/>
        <item m="1" x="44"/>
        <item m="1" x="45"/>
        <item m="1" x="40"/>
        <item m="1" x="41"/>
        <item m="1" x="42"/>
        <item m="1" x="32"/>
        <item m="1" x="33"/>
        <item m="1" x="34"/>
        <item m="1" x="35"/>
        <item m="1" x="36"/>
        <item m="1" x="37"/>
        <item m="1" x="38"/>
        <item m="1" x="39"/>
        <item m="1" x="24"/>
        <item m="1" x="25"/>
        <item m="1" x="26"/>
        <item m="1" x="27"/>
        <item m="1" x="28"/>
        <item m="1" x="29"/>
        <item m="1" x="30"/>
        <item m="1" x="31"/>
        <item m="1" x="22"/>
        <item m="1" x="23"/>
        <item m="1" x="21"/>
        <item m="1" x="18"/>
        <item m="1" x="19"/>
        <item m="1" x="20"/>
        <item m="1" x="16"/>
        <item m="1" x="17"/>
        <item m="1" x="14"/>
        <item m="1" x="15"/>
        <item m="1" x="9"/>
        <item m="1" x="10"/>
        <item m="1" x="11"/>
        <item m="1" x="12"/>
        <item m="1" x="13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0"/>
        <item x="1"/>
        <item x="2"/>
        <item x="3"/>
        <item x="4"/>
        <item x="5"/>
        <item x="6"/>
        <item x="7"/>
        <item x="8"/>
        <item x="9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4"/>
    <field x="15"/>
  </rowFields>
  <rowItems count="169">
    <i>
      <x/>
      <x v="24"/>
    </i>
    <i>
      <x v="240"/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2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ghi" fld="0" subtotal="average" baseField="0" baseItem="0"/>
    <dataField name="Average of air_temp" fld="8" subtotal="average" baseField="0" baseItem="0"/>
    <dataField name="Average of cloud_opacity" fld="1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3:K172"/>
  <sheetViews>
    <sheetView tabSelected="1" topLeftCell="A141" workbookViewId="0">
      <selection activeCell="J152" sqref="J152"/>
    </sheetView>
  </sheetViews>
  <sheetFormatPr defaultRowHeight="14.4" x14ac:dyDescent="0.3"/>
  <cols>
    <col min="1" max="1" width="12.109375" bestFit="1" customWidth="1"/>
    <col min="2" max="2" width="9.88671875" bestFit="1" customWidth="1"/>
    <col min="3" max="3" width="13.44140625" bestFit="1" customWidth="1"/>
    <col min="4" max="4" width="18.77734375" bestFit="1" customWidth="1"/>
    <col min="5" max="5" width="23" bestFit="1" customWidth="1"/>
    <col min="6" max="6" width="12.33203125" bestFit="1" customWidth="1"/>
    <col min="7" max="7" width="16.33203125" bestFit="1" customWidth="1"/>
  </cols>
  <sheetData>
    <row r="3" spans="1:11" x14ac:dyDescent="0.3">
      <c r="A3" s="2" t="s">
        <v>4</v>
      </c>
      <c r="B3" s="2" t="s">
        <v>5</v>
      </c>
      <c r="C3" t="s">
        <v>21</v>
      </c>
      <c r="D3" t="s">
        <v>8</v>
      </c>
      <c r="E3" t="s">
        <v>9</v>
      </c>
    </row>
    <row r="4" spans="1:11" x14ac:dyDescent="0.3">
      <c r="A4" t="s">
        <v>6</v>
      </c>
      <c r="B4" t="s">
        <v>6</v>
      </c>
      <c r="C4" s="4"/>
      <c r="D4" s="4"/>
      <c r="E4" s="4"/>
    </row>
    <row r="5" spans="1:11" x14ac:dyDescent="0.3">
      <c r="A5" s="1">
        <v>45343</v>
      </c>
      <c r="B5">
        <v>14</v>
      </c>
      <c r="C5" s="4">
        <v>98</v>
      </c>
      <c r="D5" s="4">
        <v>6</v>
      </c>
      <c r="E5" s="4">
        <v>81</v>
      </c>
    </row>
    <row r="6" spans="1:11" x14ac:dyDescent="0.3">
      <c r="A6" s="1">
        <v>45343</v>
      </c>
      <c r="B6">
        <v>15</v>
      </c>
      <c r="C6" s="4">
        <v>107</v>
      </c>
      <c r="D6" s="4">
        <v>7</v>
      </c>
      <c r="E6" s="4">
        <v>76</v>
      </c>
    </row>
    <row r="7" spans="1:11" x14ac:dyDescent="0.3">
      <c r="A7" s="1">
        <v>45343</v>
      </c>
      <c r="B7">
        <v>16</v>
      </c>
      <c r="C7" s="4">
        <v>136</v>
      </c>
      <c r="D7" s="4">
        <v>7</v>
      </c>
      <c r="E7" s="4">
        <v>56</v>
      </c>
    </row>
    <row r="8" spans="1:11" x14ac:dyDescent="0.3">
      <c r="A8" s="1">
        <v>45343</v>
      </c>
      <c r="B8">
        <v>17</v>
      </c>
      <c r="C8" s="4">
        <v>108</v>
      </c>
      <c r="D8" s="4">
        <v>6</v>
      </c>
      <c r="E8" s="4">
        <v>29</v>
      </c>
    </row>
    <row r="9" spans="1:11" x14ac:dyDescent="0.3">
      <c r="A9" s="1">
        <v>45343</v>
      </c>
      <c r="B9">
        <v>18</v>
      </c>
      <c r="C9" s="4">
        <v>10</v>
      </c>
      <c r="D9" s="4">
        <v>5</v>
      </c>
      <c r="E9" s="4">
        <v>26</v>
      </c>
    </row>
    <row r="10" spans="1:11" x14ac:dyDescent="0.3">
      <c r="A10" s="1">
        <v>45343</v>
      </c>
      <c r="B10">
        <v>19</v>
      </c>
      <c r="C10" s="4">
        <v>0</v>
      </c>
      <c r="D10" s="4">
        <v>4</v>
      </c>
      <c r="E10" s="4">
        <v>24</v>
      </c>
    </row>
    <row r="11" spans="1:11" x14ac:dyDescent="0.3">
      <c r="A11" s="1">
        <v>45343</v>
      </c>
      <c r="B11">
        <v>20</v>
      </c>
      <c r="C11" s="4">
        <v>0</v>
      </c>
      <c r="D11" s="4">
        <v>4</v>
      </c>
      <c r="E11" s="4">
        <v>24</v>
      </c>
    </row>
    <row r="12" spans="1:11" x14ac:dyDescent="0.3">
      <c r="A12" s="1">
        <v>45343</v>
      </c>
      <c r="B12">
        <v>21</v>
      </c>
      <c r="C12" s="4">
        <v>0</v>
      </c>
      <c r="D12" s="4">
        <v>4</v>
      </c>
      <c r="E12" s="4">
        <v>25</v>
      </c>
    </row>
    <row r="13" spans="1:11" x14ac:dyDescent="0.3">
      <c r="A13" s="1">
        <v>45343</v>
      </c>
      <c r="B13">
        <v>22</v>
      </c>
      <c r="C13" s="4">
        <v>0</v>
      </c>
      <c r="D13" s="4">
        <v>4</v>
      </c>
      <c r="E13" s="4">
        <v>24</v>
      </c>
    </row>
    <row r="14" spans="1:11" x14ac:dyDescent="0.3">
      <c r="A14" s="1">
        <v>45343</v>
      </c>
      <c r="B14">
        <v>23</v>
      </c>
      <c r="C14" s="4">
        <v>0</v>
      </c>
      <c r="D14" s="4">
        <v>3</v>
      </c>
      <c r="E14" s="4">
        <v>24</v>
      </c>
    </row>
    <row r="15" spans="1:11" x14ac:dyDescent="0.3">
      <c r="A15" s="1">
        <v>45344</v>
      </c>
      <c r="B15">
        <v>0</v>
      </c>
      <c r="C15" s="4">
        <v>0</v>
      </c>
      <c r="D15" s="4">
        <v>3</v>
      </c>
      <c r="E15" s="4">
        <v>24</v>
      </c>
      <c r="K15" t="s">
        <v>20</v>
      </c>
    </row>
    <row r="16" spans="1:11" x14ac:dyDescent="0.3">
      <c r="A16" s="1">
        <v>45344</v>
      </c>
      <c r="B16">
        <v>1</v>
      </c>
      <c r="C16" s="4">
        <v>0</v>
      </c>
      <c r="D16" s="4">
        <v>3</v>
      </c>
      <c r="E16" s="4">
        <v>21</v>
      </c>
    </row>
    <row r="17" spans="1:5" x14ac:dyDescent="0.3">
      <c r="A17" s="1">
        <v>45344</v>
      </c>
      <c r="B17">
        <v>2</v>
      </c>
      <c r="C17" s="4">
        <v>0</v>
      </c>
      <c r="D17" s="4">
        <v>2</v>
      </c>
      <c r="E17" s="4">
        <v>21</v>
      </c>
    </row>
    <row r="18" spans="1:5" x14ac:dyDescent="0.3">
      <c r="A18" s="1">
        <v>45344</v>
      </c>
      <c r="B18">
        <v>3</v>
      </c>
      <c r="C18" s="4">
        <v>0</v>
      </c>
      <c r="D18" s="4">
        <v>2</v>
      </c>
      <c r="E18" s="4">
        <v>17</v>
      </c>
    </row>
    <row r="19" spans="1:5" x14ac:dyDescent="0.3">
      <c r="A19" s="1">
        <v>45344</v>
      </c>
      <c r="B19">
        <v>4</v>
      </c>
      <c r="C19" s="4">
        <v>0</v>
      </c>
      <c r="D19" s="4">
        <v>2</v>
      </c>
      <c r="E19" s="4">
        <v>14</v>
      </c>
    </row>
    <row r="20" spans="1:5" x14ac:dyDescent="0.3">
      <c r="A20" s="1">
        <v>45344</v>
      </c>
      <c r="B20">
        <v>5</v>
      </c>
      <c r="C20" s="4">
        <v>0</v>
      </c>
      <c r="D20" s="4">
        <v>1</v>
      </c>
      <c r="E20" s="4">
        <v>12</v>
      </c>
    </row>
    <row r="21" spans="1:5" x14ac:dyDescent="0.3">
      <c r="A21" s="1">
        <v>45344</v>
      </c>
      <c r="B21">
        <v>6</v>
      </c>
      <c r="C21" s="4">
        <v>0</v>
      </c>
      <c r="D21" s="4">
        <v>1</v>
      </c>
      <c r="E21" s="4">
        <v>12</v>
      </c>
    </row>
    <row r="22" spans="1:5" x14ac:dyDescent="0.3">
      <c r="A22" s="1">
        <v>45344</v>
      </c>
      <c r="B22">
        <v>7</v>
      </c>
      <c r="C22" s="4">
        <v>0</v>
      </c>
      <c r="D22" s="4">
        <v>1</v>
      </c>
      <c r="E22" s="4">
        <v>12</v>
      </c>
    </row>
    <row r="23" spans="1:5" x14ac:dyDescent="0.3">
      <c r="A23" s="1">
        <v>45344</v>
      </c>
      <c r="B23">
        <v>8</v>
      </c>
      <c r="C23" s="4">
        <v>31</v>
      </c>
      <c r="D23" s="4">
        <v>1</v>
      </c>
      <c r="E23" s="4">
        <v>13</v>
      </c>
    </row>
    <row r="24" spans="1:5" x14ac:dyDescent="0.3">
      <c r="A24" s="1">
        <v>45344</v>
      </c>
      <c r="B24">
        <v>9</v>
      </c>
      <c r="C24" s="4">
        <v>158</v>
      </c>
      <c r="D24" s="4">
        <v>3</v>
      </c>
      <c r="E24" s="4">
        <v>17</v>
      </c>
    </row>
    <row r="25" spans="1:5" x14ac:dyDescent="0.3">
      <c r="A25" s="1">
        <v>45344</v>
      </c>
      <c r="B25">
        <v>10</v>
      </c>
      <c r="C25" s="4">
        <v>303</v>
      </c>
      <c r="D25" s="4">
        <v>4</v>
      </c>
      <c r="E25" s="4">
        <v>12</v>
      </c>
    </row>
    <row r="26" spans="1:5" x14ac:dyDescent="0.3">
      <c r="A26" s="1">
        <v>45344</v>
      </c>
      <c r="B26">
        <v>11</v>
      </c>
      <c r="C26" s="4">
        <v>427</v>
      </c>
      <c r="D26" s="4">
        <v>5</v>
      </c>
      <c r="E26" s="4">
        <v>8</v>
      </c>
    </row>
    <row r="27" spans="1:5" x14ac:dyDescent="0.3">
      <c r="A27" s="1">
        <v>45344</v>
      </c>
      <c r="B27">
        <v>12</v>
      </c>
      <c r="C27" s="4">
        <v>495</v>
      </c>
      <c r="D27" s="4">
        <v>7</v>
      </c>
      <c r="E27" s="4">
        <v>8</v>
      </c>
    </row>
    <row r="28" spans="1:5" x14ac:dyDescent="0.3">
      <c r="A28" s="1">
        <v>45344</v>
      </c>
      <c r="B28">
        <v>13</v>
      </c>
      <c r="C28" s="4">
        <v>502</v>
      </c>
      <c r="D28" s="4">
        <v>8</v>
      </c>
      <c r="E28" s="4">
        <v>11</v>
      </c>
    </row>
    <row r="29" spans="1:5" x14ac:dyDescent="0.3">
      <c r="A29" s="1">
        <v>45344</v>
      </c>
      <c r="B29">
        <v>14</v>
      </c>
      <c r="C29" s="4">
        <v>468</v>
      </c>
      <c r="D29" s="4">
        <v>8</v>
      </c>
      <c r="E29" s="4">
        <v>12</v>
      </c>
    </row>
    <row r="30" spans="1:5" x14ac:dyDescent="0.3">
      <c r="A30" s="1">
        <v>45344</v>
      </c>
      <c r="B30">
        <v>15</v>
      </c>
      <c r="C30" s="4">
        <v>389</v>
      </c>
      <c r="D30" s="4">
        <v>9</v>
      </c>
      <c r="E30" s="4">
        <v>13</v>
      </c>
    </row>
    <row r="31" spans="1:5" x14ac:dyDescent="0.3">
      <c r="A31" s="1">
        <v>45344</v>
      </c>
      <c r="B31">
        <v>16</v>
      </c>
      <c r="C31" s="4">
        <v>248</v>
      </c>
      <c r="D31" s="4">
        <v>9</v>
      </c>
      <c r="E31" s="4">
        <v>22</v>
      </c>
    </row>
    <row r="32" spans="1:5" x14ac:dyDescent="0.3">
      <c r="A32" s="1">
        <v>45344</v>
      </c>
      <c r="B32">
        <v>17</v>
      </c>
      <c r="C32" s="4">
        <v>114</v>
      </c>
      <c r="D32" s="4">
        <v>8</v>
      </c>
      <c r="E32" s="4">
        <v>29</v>
      </c>
    </row>
    <row r="33" spans="1:5" x14ac:dyDescent="0.3">
      <c r="A33" s="1">
        <v>45344</v>
      </c>
      <c r="B33">
        <v>18</v>
      </c>
      <c r="C33" s="4">
        <v>12</v>
      </c>
      <c r="D33" s="4">
        <v>7</v>
      </c>
      <c r="E33" s="4">
        <v>31</v>
      </c>
    </row>
    <row r="34" spans="1:5" x14ac:dyDescent="0.3">
      <c r="A34" s="1">
        <v>45344</v>
      </c>
      <c r="B34">
        <v>19</v>
      </c>
      <c r="C34" s="4">
        <v>0</v>
      </c>
      <c r="D34" s="4">
        <v>7</v>
      </c>
      <c r="E34" s="4">
        <v>35</v>
      </c>
    </row>
    <row r="35" spans="1:5" x14ac:dyDescent="0.3">
      <c r="A35" s="1">
        <v>45344</v>
      </c>
      <c r="B35">
        <v>20</v>
      </c>
      <c r="C35" s="4">
        <v>0</v>
      </c>
      <c r="D35" s="4">
        <v>7</v>
      </c>
      <c r="E35" s="4">
        <v>36</v>
      </c>
    </row>
    <row r="36" spans="1:5" x14ac:dyDescent="0.3">
      <c r="A36" s="1">
        <v>45344</v>
      </c>
      <c r="B36">
        <v>21</v>
      </c>
      <c r="C36" s="4">
        <v>0</v>
      </c>
      <c r="D36" s="4">
        <v>6</v>
      </c>
      <c r="E36" s="4">
        <v>36</v>
      </c>
    </row>
    <row r="37" spans="1:5" x14ac:dyDescent="0.3">
      <c r="A37" s="1">
        <v>45344</v>
      </c>
      <c r="B37">
        <v>22</v>
      </c>
      <c r="C37" s="4">
        <v>0</v>
      </c>
      <c r="D37" s="4">
        <v>6</v>
      </c>
      <c r="E37" s="4">
        <v>36</v>
      </c>
    </row>
    <row r="38" spans="1:5" x14ac:dyDescent="0.3">
      <c r="A38" s="1">
        <v>45344</v>
      </c>
      <c r="B38">
        <v>23</v>
      </c>
      <c r="C38" s="4">
        <v>0</v>
      </c>
      <c r="D38" s="4">
        <v>6</v>
      </c>
      <c r="E38" s="4">
        <v>36</v>
      </c>
    </row>
    <row r="39" spans="1:5" x14ac:dyDescent="0.3">
      <c r="A39" s="1">
        <v>45345</v>
      </c>
      <c r="B39">
        <v>0</v>
      </c>
      <c r="C39" s="4">
        <v>0</v>
      </c>
      <c r="D39" s="4">
        <v>6</v>
      </c>
      <c r="E39" s="4">
        <v>32</v>
      </c>
    </row>
    <row r="40" spans="1:5" x14ac:dyDescent="0.3">
      <c r="A40" s="1">
        <v>45345</v>
      </c>
      <c r="B40">
        <v>1</v>
      </c>
      <c r="C40" s="4">
        <v>0</v>
      </c>
      <c r="D40" s="4">
        <v>6</v>
      </c>
      <c r="E40" s="4">
        <v>31</v>
      </c>
    </row>
    <row r="41" spans="1:5" x14ac:dyDescent="0.3">
      <c r="A41" s="1">
        <v>45345</v>
      </c>
      <c r="B41">
        <v>2</v>
      </c>
      <c r="C41" s="4">
        <v>0</v>
      </c>
      <c r="D41" s="4">
        <v>6</v>
      </c>
      <c r="E41" s="4">
        <v>32</v>
      </c>
    </row>
    <row r="42" spans="1:5" x14ac:dyDescent="0.3">
      <c r="A42" s="1">
        <v>45345</v>
      </c>
      <c r="B42">
        <v>3</v>
      </c>
      <c r="C42" s="4">
        <v>0</v>
      </c>
      <c r="D42" s="4">
        <v>6</v>
      </c>
      <c r="E42" s="4">
        <v>32</v>
      </c>
    </row>
    <row r="43" spans="1:5" x14ac:dyDescent="0.3">
      <c r="A43" s="1">
        <v>45345</v>
      </c>
      <c r="B43">
        <v>4</v>
      </c>
      <c r="C43" s="4">
        <v>0</v>
      </c>
      <c r="D43" s="4">
        <v>6</v>
      </c>
      <c r="E43" s="4">
        <v>33</v>
      </c>
    </row>
    <row r="44" spans="1:5" x14ac:dyDescent="0.3">
      <c r="A44" s="1">
        <v>45345</v>
      </c>
      <c r="B44">
        <v>5</v>
      </c>
      <c r="C44" s="4">
        <v>0</v>
      </c>
      <c r="D44" s="4">
        <v>5</v>
      </c>
      <c r="E44" s="4">
        <v>36</v>
      </c>
    </row>
    <row r="45" spans="1:5" x14ac:dyDescent="0.3">
      <c r="A45" s="1">
        <v>45345</v>
      </c>
      <c r="B45">
        <v>6</v>
      </c>
      <c r="C45" s="4">
        <v>0</v>
      </c>
      <c r="D45" s="4">
        <v>5</v>
      </c>
      <c r="E45" s="4">
        <v>35</v>
      </c>
    </row>
    <row r="46" spans="1:5" x14ac:dyDescent="0.3">
      <c r="A46" s="1">
        <v>45345</v>
      </c>
      <c r="B46">
        <v>7</v>
      </c>
      <c r="C46" s="4">
        <v>0</v>
      </c>
      <c r="D46" s="4">
        <v>5</v>
      </c>
      <c r="E46" s="4">
        <v>34</v>
      </c>
    </row>
    <row r="47" spans="1:5" x14ac:dyDescent="0.3">
      <c r="A47" s="1">
        <v>45345</v>
      </c>
      <c r="B47">
        <v>8</v>
      </c>
      <c r="C47" s="4">
        <v>24</v>
      </c>
      <c r="D47" s="4">
        <v>5</v>
      </c>
      <c r="E47" s="4">
        <v>35</v>
      </c>
    </row>
    <row r="48" spans="1:5" x14ac:dyDescent="0.3">
      <c r="A48" s="1">
        <v>45345</v>
      </c>
      <c r="B48">
        <v>9</v>
      </c>
      <c r="C48" s="4">
        <v>127</v>
      </c>
      <c r="D48" s="4">
        <v>6</v>
      </c>
      <c r="E48" s="4">
        <v>33</v>
      </c>
    </row>
    <row r="49" spans="1:5" x14ac:dyDescent="0.3">
      <c r="A49" s="1">
        <v>45345</v>
      </c>
      <c r="B49">
        <v>10</v>
      </c>
      <c r="C49" s="4">
        <v>228</v>
      </c>
      <c r="D49" s="4">
        <v>8</v>
      </c>
      <c r="E49" s="4">
        <v>33</v>
      </c>
    </row>
    <row r="50" spans="1:5" x14ac:dyDescent="0.3">
      <c r="A50" s="1">
        <v>45345</v>
      </c>
      <c r="B50">
        <v>11</v>
      </c>
      <c r="C50" s="4">
        <v>309</v>
      </c>
      <c r="D50" s="4">
        <v>9</v>
      </c>
      <c r="E50" s="4">
        <v>33</v>
      </c>
    </row>
    <row r="51" spans="1:5" x14ac:dyDescent="0.3">
      <c r="A51" s="1">
        <v>45345</v>
      </c>
      <c r="B51">
        <v>12</v>
      </c>
      <c r="C51" s="4">
        <v>366</v>
      </c>
      <c r="D51" s="4">
        <v>10</v>
      </c>
      <c r="E51" s="4">
        <v>32</v>
      </c>
    </row>
    <row r="52" spans="1:5" x14ac:dyDescent="0.3">
      <c r="A52" s="1">
        <v>45345</v>
      </c>
      <c r="B52">
        <v>13</v>
      </c>
      <c r="C52" s="4">
        <v>418</v>
      </c>
      <c r="D52" s="4">
        <v>11</v>
      </c>
      <c r="E52" s="4">
        <v>26</v>
      </c>
    </row>
    <row r="53" spans="1:5" x14ac:dyDescent="0.3">
      <c r="A53" s="1">
        <v>45345</v>
      </c>
      <c r="B53">
        <v>14</v>
      </c>
      <c r="C53" s="4">
        <v>434</v>
      </c>
      <c r="D53" s="4">
        <v>12</v>
      </c>
      <c r="E53" s="4">
        <v>18</v>
      </c>
    </row>
    <row r="54" spans="1:5" x14ac:dyDescent="0.3">
      <c r="A54" s="1">
        <v>45345</v>
      </c>
      <c r="B54">
        <v>15</v>
      </c>
      <c r="C54" s="4">
        <v>392</v>
      </c>
      <c r="D54" s="4">
        <v>12</v>
      </c>
      <c r="E54" s="4">
        <v>12</v>
      </c>
    </row>
    <row r="55" spans="1:5" x14ac:dyDescent="0.3">
      <c r="A55" s="1">
        <v>45345</v>
      </c>
      <c r="B55">
        <v>16</v>
      </c>
      <c r="C55" s="4">
        <v>272</v>
      </c>
      <c r="D55" s="4">
        <v>12</v>
      </c>
      <c r="E55" s="4">
        <v>13</v>
      </c>
    </row>
    <row r="56" spans="1:5" x14ac:dyDescent="0.3">
      <c r="A56" s="1">
        <v>45345</v>
      </c>
      <c r="B56">
        <v>17</v>
      </c>
      <c r="C56" s="4">
        <v>129</v>
      </c>
      <c r="D56" s="4">
        <v>12</v>
      </c>
      <c r="E56" s="4">
        <v>17</v>
      </c>
    </row>
    <row r="57" spans="1:5" x14ac:dyDescent="0.3">
      <c r="A57" s="1">
        <v>45345</v>
      </c>
      <c r="B57">
        <v>18</v>
      </c>
      <c r="C57" s="4">
        <v>15</v>
      </c>
      <c r="D57" s="4">
        <v>10</v>
      </c>
      <c r="E57" s="4">
        <v>15</v>
      </c>
    </row>
    <row r="58" spans="1:5" x14ac:dyDescent="0.3">
      <c r="A58" s="1">
        <v>45345</v>
      </c>
      <c r="B58">
        <v>19</v>
      </c>
      <c r="C58" s="4">
        <v>0</v>
      </c>
      <c r="D58" s="4">
        <v>9</v>
      </c>
      <c r="E58" s="4">
        <v>12</v>
      </c>
    </row>
    <row r="59" spans="1:5" x14ac:dyDescent="0.3">
      <c r="A59" s="1">
        <v>45345</v>
      </c>
      <c r="B59">
        <v>20</v>
      </c>
      <c r="C59" s="4">
        <v>0</v>
      </c>
      <c r="D59" s="4">
        <v>8</v>
      </c>
      <c r="E59" s="4">
        <v>12</v>
      </c>
    </row>
    <row r="60" spans="1:5" x14ac:dyDescent="0.3">
      <c r="A60" s="1">
        <v>45345</v>
      </c>
      <c r="B60">
        <v>21</v>
      </c>
      <c r="C60" s="4">
        <v>0</v>
      </c>
      <c r="D60" s="4">
        <v>8</v>
      </c>
      <c r="E60" s="4">
        <v>10</v>
      </c>
    </row>
    <row r="61" spans="1:5" x14ac:dyDescent="0.3">
      <c r="A61" s="1">
        <v>45345</v>
      </c>
      <c r="B61">
        <v>22</v>
      </c>
      <c r="C61" s="4">
        <v>0</v>
      </c>
      <c r="D61" s="4">
        <v>7</v>
      </c>
      <c r="E61" s="4">
        <v>12</v>
      </c>
    </row>
    <row r="62" spans="1:5" x14ac:dyDescent="0.3">
      <c r="A62" s="1">
        <v>45345</v>
      </c>
      <c r="B62">
        <v>23</v>
      </c>
      <c r="C62" s="4">
        <v>0</v>
      </c>
      <c r="D62" s="4">
        <v>7</v>
      </c>
      <c r="E62" s="4">
        <v>12</v>
      </c>
    </row>
    <row r="63" spans="1:5" x14ac:dyDescent="0.3">
      <c r="A63" s="1">
        <v>45346</v>
      </c>
      <c r="B63">
        <v>0</v>
      </c>
      <c r="C63" s="4">
        <v>0</v>
      </c>
      <c r="D63" s="4">
        <v>7</v>
      </c>
      <c r="E63" s="4">
        <v>10</v>
      </c>
    </row>
    <row r="64" spans="1:5" x14ac:dyDescent="0.3">
      <c r="A64" s="1">
        <v>45346</v>
      </c>
      <c r="B64">
        <v>1</v>
      </c>
      <c r="C64" s="4">
        <v>0</v>
      </c>
      <c r="D64" s="4">
        <v>6</v>
      </c>
      <c r="E64" s="4">
        <v>14</v>
      </c>
    </row>
    <row r="65" spans="1:5" x14ac:dyDescent="0.3">
      <c r="A65" s="1">
        <v>45346</v>
      </c>
      <c r="B65">
        <v>2</v>
      </c>
      <c r="C65" s="4">
        <v>0</v>
      </c>
      <c r="D65" s="4">
        <v>6</v>
      </c>
      <c r="E65" s="4">
        <v>18</v>
      </c>
    </row>
    <row r="66" spans="1:5" x14ac:dyDescent="0.3">
      <c r="A66" s="1">
        <v>45346</v>
      </c>
      <c r="B66">
        <v>3</v>
      </c>
      <c r="C66" s="4">
        <v>0</v>
      </c>
      <c r="D66" s="4">
        <v>6</v>
      </c>
      <c r="E66" s="4">
        <v>26</v>
      </c>
    </row>
    <row r="67" spans="1:5" x14ac:dyDescent="0.3">
      <c r="A67" s="1">
        <v>45346</v>
      </c>
      <c r="B67">
        <v>4</v>
      </c>
      <c r="C67" s="4">
        <v>0</v>
      </c>
      <c r="D67" s="4">
        <v>6</v>
      </c>
      <c r="E67" s="4">
        <v>34</v>
      </c>
    </row>
    <row r="68" spans="1:5" x14ac:dyDescent="0.3">
      <c r="A68" s="1">
        <v>45346</v>
      </c>
      <c r="B68">
        <v>5</v>
      </c>
      <c r="C68" s="4">
        <v>0</v>
      </c>
      <c r="D68" s="4">
        <v>6</v>
      </c>
      <c r="E68" s="4">
        <v>43</v>
      </c>
    </row>
    <row r="69" spans="1:5" x14ac:dyDescent="0.3">
      <c r="A69" s="1">
        <v>45346</v>
      </c>
      <c r="B69">
        <v>6</v>
      </c>
      <c r="C69" s="4">
        <v>0</v>
      </c>
      <c r="D69" s="4">
        <v>6</v>
      </c>
      <c r="E69" s="4">
        <v>45</v>
      </c>
    </row>
    <row r="70" spans="1:5" x14ac:dyDescent="0.3">
      <c r="A70" s="1">
        <v>45346</v>
      </c>
      <c r="B70">
        <v>7</v>
      </c>
      <c r="C70" s="4">
        <v>0</v>
      </c>
      <c r="D70" s="4">
        <v>6</v>
      </c>
      <c r="E70" s="4">
        <v>45</v>
      </c>
    </row>
    <row r="71" spans="1:5" x14ac:dyDescent="0.3">
      <c r="A71" s="1">
        <v>45346</v>
      </c>
      <c r="B71">
        <v>8</v>
      </c>
      <c r="C71" s="4">
        <v>22</v>
      </c>
      <c r="D71" s="4">
        <v>6</v>
      </c>
      <c r="E71" s="4">
        <v>46</v>
      </c>
    </row>
    <row r="72" spans="1:5" x14ac:dyDescent="0.3">
      <c r="A72" s="1">
        <v>45346</v>
      </c>
      <c r="B72">
        <v>9</v>
      </c>
      <c r="C72" s="4">
        <v>91</v>
      </c>
      <c r="D72" s="4">
        <v>7</v>
      </c>
      <c r="E72" s="4">
        <v>51</v>
      </c>
    </row>
    <row r="73" spans="1:5" x14ac:dyDescent="0.3">
      <c r="A73" s="1">
        <v>45346</v>
      </c>
      <c r="B73">
        <v>10</v>
      </c>
      <c r="C73" s="4">
        <v>153</v>
      </c>
      <c r="D73" s="4">
        <v>9</v>
      </c>
      <c r="E73" s="4">
        <v>54</v>
      </c>
    </row>
    <row r="74" spans="1:5" x14ac:dyDescent="0.3">
      <c r="A74" s="1">
        <v>45346</v>
      </c>
      <c r="B74">
        <v>11</v>
      </c>
      <c r="C74" s="4">
        <v>205</v>
      </c>
      <c r="D74" s="4">
        <v>11</v>
      </c>
      <c r="E74" s="4">
        <v>54</v>
      </c>
    </row>
    <row r="75" spans="1:5" x14ac:dyDescent="0.3">
      <c r="A75" s="1">
        <v>45346</v>
      </c>
      <c r="B75">
        <v>12</v>
      </c>
      <c r="C75" s="4">
        <v>224</v>
      </c>
      <c r="D75" s="4">
        <v>12</v>
      </c>
      <c r="E75" s="4">
        <v>58</v>
      </c>
    </row>
    <row r="76" spans="1:5" x14ac:dyDescent="0.3">
      <c r="A76" s="1">
        <v>45346</v>
      </c>
      <c r="B76">
        <v>13</v>
      </c>
      <c r="C76" s="4">
        <v>216</v>
      </c>
      <c r="D76" s="4">
        <v>13</v>
      </c>
      <c r="E76" s="4">
        <v>61</v>
      </c>
    </row>
    <row r="77" spans="1:5" x14ac:dyDescent="0.3">
      <c r="A77" s="1">
        <v>45346</v>
      </c>
      <c r="B77">
        <v>14</v>
      </c>
      <c r="C77" s="4">
        <v>193</v>
      </c>
      <c r="D77" s="4">
        <v>13</v>
      </c>
      <c r="E77" s="4">
        <v>64</v>
      </c>
    </row>
    <row r="78" spans="1:5" x14ac:dyDescent="0.3">
      <c r="A78" s="1">
        <v>45346</v>
      </c>
      <c r="B78">
        <v>15</v>
      </c>
      <c r="C78" s="4">
        <v>167</v>
      </c>
      <c r="D78" s="4">
        <v>14</v>
      </c>
      <c r="E78" s="4">
        <v>63</v>
      </c>
    </row>
    <row r="79" spans="1:5" x14ac:dyDescent="0.3">
      <c r="A79" s="1">
        <v>45346</v>
      </c>
      <c r="B79">
        <v>16</v>
      </c>
      <c r="C79" s="4">
        <v>134</v>
      </c>
      <c r="D79" s="4">
        <v>14</v>
      </c>
      <c r="E79" s="4">
        <v>58</v>
      </c>
    </row>
    <row r="80" spans="1:5" x14ac:dyDescent="0.3">
      <c r="A80" s="1">
        <v>45346</v>
      </c>
      <c r="B80">
        <v>17</v>
      </c>
      <c r="C80" s="4">
        <v>69</v>
      </c>
      <c r="D80" s="4">
        <v>13</v>
      </c>
      <c r="E80" s="4">
        <v>59</v>
      </c>
    </row>
    <row r="81" spans="1:5" x14ac:dyDescent="0.3">
      <c r="A81" s="1">
        <v>45346</v>
      </c>
      <c r="B81">
        <v>18</v>
      </c>
      <c r="C81" s="4">
        <v>8</v>
      </c>
      <c r="D81" s="4">
        <v>12</v>
      </c>
      <c r="E81" s="4">
        <v>64</v>
      </c>
    </row>
    <row r="82" spans="1:5" x14ac:dyDescent="0.3">
      <c r="A82" s="1">
        <v>45346</v>
      </c>
      <c r="B82">
        <v>19</v>
      </c>
      <c r="C82" s="4">
        <v>0</v>
      </c>
      <c r="D82" s="4">
        <v>11</v>
      </c>
      <c r="E82" s="4">
        <v>64</v>
      </c>
    </row>
    <row r="83" spans="1:5" x14ac:dyDescent="0.3">
      <c r="A83" s="1">
        <v>45346</v>
      </c>
      <c r="B83">
        <v>20</v>
      </c>
      <c r="C83" s="4">
        <v>0</v>
      </c>
      <c r="D83" s="4">
        <v>10</v>
      </c>
      <c r="E83" s="4">
        <v>64</v>
      </c>
    </row>
    <row r="84" spans="1:5" x14ac:dyDescent="0.3">
      <c r="A84" s="1">
        <v>45346</v>
      </c>
      <c r="B84">
        <v>21</v>
      </c>
      <c r="C84" s="4">
        <v>0</v>
      </c>
      <c r="D84" s="4">
        <v>10</v>
      </c>
      <c r="E84" s="4">
        <v>64</v>
      </c>
    </row>
    <row r="85" spans="1:5" x14ac:dyDescent="0.3">
      <c r="A85" s="1">
        <v>45346</v>
      </c>
      <c r="B85">
        <v>22</v>
      </c>
      <c r="C85" s="4">
        <v>0</v>
      </c>
      <c r="D85" s="4">
        <v>9</v>
      </c>
      <c r="E85" s="4">
        <v>63</v>
      </c>
    </row>
    <row r="86" spans="1:5" x14ac:dyDescent="0.3">
      <c r="A86" s="1">
        <v>45346</v>
      </c>
      <c r="B86">
        <v>23</v>
      </c>
      <c r="C86" s="4">
        <v>0</v>
      </c>
      <c r="D86" s="4">
        <v>9</v>
      </c>
      <c r="E86" s="4">
        <v>63</v>
      </c>
    </row>
    <row r="87" spans="1:5" x14ac:dyDescent="0.3">
      <c r="A87" s="1">
        <v>45347</v>
      </c>
      <c r="B87">
        <v>0</v>
      </c>
      <c r="C87" s="4">
        <v>0</v>
      </c>
      <c r="D87" s="4">
        <v>8</v>
      </c>
      <c r="E87" s="4">
        <v>63</v>
      </c>
    </row>
    <row r="88" spans="1:5" x14ac:dyDescent="0.3">
      <c r="A88" s="1">
        <v>45347</v>
      </c>
      <c r="B88">
        <v>1</v>
      </c>
      <c r="C88" s="4">
        <v>0</v>
      </c>
      <c r="D88" s="4">
        <v>8</v>
      </c>
      <c r="E88" s="4">
        <v>65</v>
      </c>
    </row>
    <row r="89" spans="1:5" x14ac:dyDescent="0.3">
      <c r="A89" s="1">
        <v>45347</v>
      </c>
      <c r="B89">
        <v>2</v>
      </c>
      <c r="C89" s="4">
        <v>0</v>
      </c>
      <c r="D89" s="4">
        <v>8</v>
      </c>
      <c r="E89" s="4">
        <v>69</v>
      </c>
    </row>
    <row r="90" spans="1:5" x14ac:dyDescent="0.3">
      <c r="A90" s="1">
        <v>45347</v>
      </c>
      <c r="B90">
        <v>3</v>
      </c>
      <c r="C90" s="4">
        <v>0</v>
      </c>
      <c r="D90" s="4">
        <v>8</v>
      </c>
      <c r="E90" s="4">
        <v>67</v>
      </c>
    </row>
    <row r="91" spans="1:5" x14ac:dyDescent="0.3">
      <c r="A91" s="1">
        <v>45347</v>
      </c>
      <c r="B91">
        <v>4</v>
      </c>
      <c r="C91" s="4">
        <v>0</v>
      </c>
      <c r="D91" s="4">
        <v>8</v>
      </c>
      <c r="E91" s="4">
        <v>64</v>
      </c>
    </row>
    <row r="92" spans="1:5" x14ac:dyDescent="0.3">
      <c r="A92" s="1">
        <v>45347</v>
      </c>
      <c r="B92">
        <v>5</v>
      </c>
      <c r="C92" s="4">
        <v>0</v>
      </c>
      <c r="D92" s="4">
        <v>8</v>
      </c>
      <c r="E92" s="4">
        <v>60</v>
      </c>
    </row>
    <row r="93" spans="1:5" x14ac:dyDescent="0.3">
      <c r="A93" s="1">
        <v>45347</v>
      </c>
      <c r="B93">
        <v>6</v>
      </c>
      <c r="C93" s="4">
        <v>0</v>
      </c>
      <c r="D93" s="4">
        <v>8</v>
      </c>
      <c r="E93" s="4">
        <v>56</v>
      </c>
    </row>
    <row r="94" spans="1:5" x14ac:dyDescent="0.3">
      <c r="A94" s="1">
        <v>45347</v>
      </c>
      <c r="B94">
        <v>7</v>
      </c>
      <c r="C94" s="4">
        <v>0</v>
      </c>
      <c r="D94" s="4">
        <v>8</v>
      </c>
      <c r="E94" s="4">
        <v>54</v>
      </c>
    </row>
    <row r="95" spans="1:5" x14ac:dyDescent="0.3">
      <c r="A95" s="1">
        <v>45347</v>
      </c>
      <c r="B95">
        <v>8</v>
      </c>
      <c r="C95" s="4">
        <v>20</v>
      </c>
      <c r="D95" s="4">
        <v>8</v>
      </c>
      <c r="E95" s="4">
        <v>56</v>
      </c>
    </row>
    <row r="96" spans="1:5" x14ac:dyDescent="0.3">
      <c r="A96" s="1">
        <v>45347</v>
      </c>
      <c r="B96">
        <v>9</v>
      </c>
      <c r="C96" s="4">
        <v>101</v>
      </c>
      <c r="D96" s="4">
        <v>8</v>
      </c>
      <c r="E96" s="4">
        <v>49</v>
      </c>
    </row>
    <row r="97" spans="1:5" x14ac:dyDescent="0.3">
      <c r="A97" s="1">
        <v>45347</v>
      </c>
      <c r="B97">
        <v>10</v>
      </c>
      <c r="C97" s="4">
        <v>198</v>
      </c>
      <c r="D97" s="4">
        <v>9</v>
      </c>
      <c r="E97" s="4">
        <v>44</v>
      </c>
    </row>
    <row r="98" spans="1:5" x14ac:dyDescent="0.3">
      <c r="A98" s="1">
        <v>45347</v>
      </c>
      <c r="B98">
        <v>11</v>
      </c>
      <c r="C98" s="4">
        <v>292</v>
      </c>
      <c r="D98" s="4">
        <v>10</v>
      </c>
      <c r="E98" s="4">
        <v>39</v>
      </c>
    </row>
    <row r="99" spans="1:5" x14ac:dyDescent="0.3">
      <c r="A99" s="1">
        <v>45347</v>
      </c>
      <c r="B99">
        <v>12</v>
      </c>
      <c r="C99" s="4">
        <v>346</v>
      </c>
      <c r="D99" s="4">
        <v>12</v>
      </c>
      <c r="E99" s="4">
        <v>37</v>
      </c>
    </row>
    <row r="100" spans="1:5" x14ac:dyDescent="0.3">
      <c r="A100" s="1">
        <v>45347</v>
      </c>
      <c r="B100">
        <v>13</v>
      </c>
      <c r="C100" s="4">
        <v>377</v>
      </c>
      <c r="D100" s="4">
        <v>13</v>
      </c>
      <c r="E100" s="4">
        <v>34</v>
      </c>
    </row>
    <row r="101" spans="1:5" x14ac:dyDescent="0.3">
      <c r="A101" s="1">
        <v>45347</v>
      </c>
      <c r="B101">
        <v>14</v>
      </c>
      <c r="C101" s="4">
        <v>356</v>
      </c>
      <c r="D101" s="4">
        <v>14</v>
      </c>
      <c r="E101" s="4">
        <v>34</v>
      </c>
    </row>
    <row r="102" spans="1:5" x14ac:dyDescent="0.3">
      <c r="A102" s="1">
        <v>45347</v>
      </c>
      <c r="B102">
        <v>15</v>
      </c>
      <c r="C102" s="4">
        <v>304</v>
      </c>
      <c r="D102" s="4">
        <v>14</v>
      </c>
      <c r="E102" s="4">
        <v>34</v>
      </c>
    </row>
    <row r="103" spans="1:5" x14ac:dyDescent="0.3">
      <c r="A103" s="1">
        <v>45347</v>
      </c>
      <c r="B103">
        <v>16</v>
      </c>
      <c r="C103" s="4">
        <v>211</v>
      </c>
      <c r="D103" s="4">
        <v>14</v>
      </c>
      <c r="E103" s="4">
        <v>36</v>
      </c>
    </row>
    <row r="104" spans="1:5" x14ac:dyDescent="0.3">
      <c r="A104" s="1">
        <v>45347</v>
      </c>
      <c r="B104">
        <v>17</v>
      </c>
      <c r="C104" s="4">
        <v>102</v>
      </c>
      <c r="D104" s="4">
        <v>14</v>
      </c>
      <c r="E104" s="4">
        <v>40</v>
      </c>
    </row>
    <row r="105" spans="1:5" x14ac:dyDescent="0.3">
      <c r="A105" s="1">
        <v>45347</v>
      </c>
      <c r="B105">
        <v>18</v>
      </c>
      <c r="C105" s="4">
        <v>13</v>
      </c>
      <c r="D105" s="4">
        <v>12</v>
      </c>
      <c r="E105" s="4">
        <v>45</v>
      </c>
    </row>
    <row r="106" spans="1:5" x14ac:dyDescent="0.3">
      <c r="A106" s="1">
        <v>45347</v>
      </c>
      <c r="B106">
        <v>19</v>
      </c>
      <c r="C106" s="4">
        <v>0</v>
      </c>
      <c r="D106" s="4">
        <v>10</v>
      </c>
      <c r="E106" s="4">
        <v>48</v>
      </c>
    </row>
    <row r="107" spans="1:5" x14ac:dyDescent="0.3">
      <c r="A107" s="1">
        <v>45347</v>
      </c>
      <c r="B107">
        <v>20</v>
      </c>
      <c r="C107" s="4">
        <v>0</v>
      </c>
      <c r="D107" s="4">
        <v>10</v>
      </c>
      <c r="E107" s="4">
        <v>51</v>
      </c>
    </row>
    <row r="108" spans="1:5" x14ac:dyDescent="0.3">
      <c r="A108" s="1">
        <v>45347</v>
      </c>
      <c r="B108">
        <v>21</v>
      </c>
      <c r="C108" s="4">
        <v>0</v>
      </c>
      <c r="D108" s="4">
        <v>9</v>
      </c>
      <c r="E108" s="4">
        <v>54</v>
      </c>
    </row>
    <row r="109" spans="1:5" x14ac:dyDescent="0.3">
      <c r="A109" s="1">
        <v>45347</v>
      </c>
      <c r="B109">
        <v>22</v>
      </c>
      <c r="C109" s="4">
        <v>0</v>
      </c>
      <c r="D109" s="4">
        <v>9</v>
      </c>
      <c r="E109" s="4">
        <v>55</v>
      </c>
    </row>
    <row r="110" spans="1:5" x14ac:dyDescent="0.3">
      <c r="A110" s="1">
        <v>45347</v>
      </c>
      <c r="B110">
        <v>23</v>
      </c>
      <c r="C110" s="4">
        <v>0</v>
      </c>
      <c r="D110" s="4">
        <v>9</v>
      </c>
      <c r="E110" s="4">
        <v>56</v>
      </c>
    </row>
    <row r="111" spans="1:5" x14ac:dyDescent="0.3">
      <c r="A111" s="1">
        <v>45348</v>
      </c>
      <c r="B111">
        <v>0</v>
      </c>
      <c r="C111" s="4">
        <v>0</v>
      </c>
      <c r="D111" s="4">
        <v>9</v>
      </c>
      <c r="E111" s="4">
        <v>57</v>
      </c>
    </row>
    <row r="112" spans="1:5" x14ac:dyDescent="0.3">
      <c r="A112" s="1">
        <v>45348</v>
      </c>
      <c r="B112">
        <v>1</v>
      </c>
      <c r="C112" s="4">
        <v>0</v>
      </c>
      <c r="D112" s="4">
        <v>9</v>
      </c>
      <c r="E112" s="4">
        <v>59</v>
      </c>
    </row>
    <row r="113" spans="1:5" x14ac:dyDescent="0.3">
      <c r="A113" s="1">
        <v>45348</v>
      </c>
      <c r="B113">
        <v>2</v>
      </c>
      <c r="C113" s="4">
        <v>0</v>
      </c>
      <c r="D113" s="4">
        <v>9</v>
      </c>
      <c r="E113" s="4">
        <v>61</v>
      </c>
    </row>
    <row r="114" spans="1:5" x14ac:dyDescent="0.3">
      <c r="A114" s="1">
        <v>45348</v>
      </c>
      <c r="B114">
        <v>3</v>
      </c>
      <c r="C114" s="4">
        <v>0</v>
      </c>
      <c r="D114" s="4">
        <v>9</v>
      </c>
      <c r="E114" s="4">
        <v>62</v>
      </c>
    </row>
    <row r="115" spans="1:5" x14ac:dyDescent="0.3">
      <c r="A115" s="1">
        <v>45348</v>
      </c>
      <c r="B115">
        <v>4</v>
      </c>
      <c r="C115" s="4">
        <v>0</v>
      </c>
      <c r="D115" s="4">
        <v>9</v>
      </c>
      <c r="E115" s="4">
        <v>63</v>
      </c>
    </row>
    <row r="116" spans="1:5" x14ac:dyDescent="0.3">
      <c r="A116" s="1">
        <v>45348</v>
      </c>
      <c r="B116">
        <v>5</v>
      </c>
      <c r="C116" s="4">
        <v>0</v>
      </c>
      <c r="D116" s="4">
        <v>9</v>
      </c>
      <c r="E116" s="4">
        <v>63</v>
      </c>
    </row>
    <row r="117" spans="1:5" x14ac:dyDescent="0.3">
      <c r="A117" s="1">
        <v>45348</v>
      </c>
      <c r="B117">
        <v>6</v>
      </c>
      <c r="C117" s="4">
        <v>0</v>
      </c>
      <c r="D117" s="4">
        <v>8</v>
      </c>
      <c r="E117" s="4">
        <v>63</v>
      </c>
    </row>
    <row r="118" spans="1:5" x14ac:dyDescent="0.3">
      <c r="A118" s="1">
        <v>45348</v>
      </c>
      <c r="B118">
        <v>7</v>
      </c>
      <c r="C118" s="4">
        <v>0</v>
      </c>
      <c r="D118" s="4">
        <v>8</v>
      </c>
      <c r="E118" s="4">
        <v>63</v>
      </c>
    </row>
    <row r="119" spans="1:5" x14ac:dyDescent="0.3">
      <c r="A119" s="1">
        <v>45348</v>
      </c>
      <c r="B119">
        <v>8</v>
      </c>
      <c r="C119" s="4">
        <v>16</v>
      </c>
      <c r="D119" s="4">
        <v>8</v>
      </c>
      <c r="E119" s="4">
        <v>63</v>
      </c>
    </row>
    <row r="120" spans="1:5" x14ac:dyDescent="0.3">
      <c r="A120" s="1">
        <v>45348</v>
      </c>
      <c r="B120">
        <v>9</v>
      </c>
      <c r="C120" s="4">
        <v>86</v>
      </c>
      <c r="D120" s="4">
        <v>9</v>
      </c>
      <c r="E120" s="4">
        <v>56</v>
      </c>
    </row>
    <row r="121" spans="1:5" x14ac:dyDescent="0.3">
      <c r="A121" s="1">
        <v>45348</v>
      </c>
      <c r="B121">
        <v>10</v>
      </c>
      <c r="C121" s="4">
        <v>158</v>
      </c>
      <c r="D121" s="4">
        <v>10</v>
      </c>
      <c r="E121" s="4">
        <v>54</v>
      </c>
    </row>
    <row r="122" spans="1:5" x14ac:dyDescent="0.3">
      <c r="A122" s="1">
        <v>45348</v>
      </c>
      <c r="B122">
        <v>11</v>
      </c>
      <c r="C122" s="4">
        <v>218</v>
      </c>
      <c r="D122" s="4">
        <v>12</v>
      </c>
      <c r="E122" s="4">
        <v>54</v>
      </c>
    </row>
    <row r="123" spans="1:5" x14ac:dyDescent="0.3">
      <c r="A123" s="1">
        <v>45348</v>
      </c>
      <c r="B123">
        <v>12</v>
      </c>
      <c r="C123" s="4">
        <v>237</v>
      </c>
      <c r="D123" s="4">
        <v>13</v>
      </c>
      <c r="E123" s="4">
        <v>57</v>
      </c>
    </row>
    <row r="124" spans="1:5" x14ac:dyDescent="0.3">
      <c r="A124" s="1">
        <v>45348</v>
      </c>
      <c r="B124">
        <v>13</v>
      </c>
      <c r="C124" s="4">
        <v>217</v>
      </c>
      <c r="D124" s="4">
        <v>13</v>
      </c>
      <c r="E124" s="4">
        <v>62</v>
      </c>
    </row>
    <row r="125" spans="1:5" x14ac:dyDescent="0.3">
      <c r="A125" s="1">
        <v>45348</v>
      </c>
      <c r="B125">
        <v>14</v>
      </c>
      <c r="C125" s="4">
        <v>177</v>
      </c>
      <c r="D125" s="4">
        <v>14</v>
      </c>
      <c r="E125" s="4">
        <v>67</v>
      </c>
    </row>
    <row r="126" spans="1:5" x14ac:dyDescent="0.3">
      <c r="A126" s="1">
        <v>45348</v>
      </c>
      <c r="B126">
        <v>15</v>
      </c>
      <c r="C126" s="4">
        <v>152</v>
      </c>
      <c r="D126" s="4">
        <v>14</v>
      </c>
      <c r="E126" s="4">
        <v>66</v>
      </c>
    </row>
    <row r="127" spans="1:5" x14ac:dyDescent="0.3">
      <c r="A127" s="1">
        <v>45348</v>
      </c>
      <c r="B127">
        <v>16</v>
      </c>
      <c r="C127" s="4">
        <v>120</v>
      </c>
      <c r="D127" s="4">
        <v>14</v>
      </c>
      <c r="E127" s="4">
        <v>62</v>
      </c>
    </row>
    <row r="128" spans="1:5" x14ac:dyDescent="0.3">
      <c r="A128" s="1">
        <v>45348</v>
      </c>
      <c r="B128">
        <v>17</v>
      </c>
      <c r="C128" s="4">
        <v>64</v>
      </c>
      <c r="D128" s="4">
        <v>14</v>
      </c>
      <c r="E128" s="4">
        <v>61</v>
      </c>
    </row>
    <row r="129" spans="1:5" x14ac:dyDescent="0.3">
      <c r="A129" s="1">
        <v>45348</v>
      </c>
      <c r="B129">
        <v>18</v>
      </c>
      <c r="C129" s="4">
        <v>9</v>
      </c>
      <c r="D129" s="4">
        <v>13</v>
      </c>
      <c r="E129" s="4">
        <v>64</v>
      </c>
    </row>
    <row r="130" spans="1:5" x14ac:dyDescent="0.3">
      <c r="A130" s="1">
        <v>45348</v>
      </c>
      <c r="B130">
        <v>19</v>
      </c>
      <c r="C130" s="4">
        <v>0</v>
      </c>
      <c r="D130" s="4">
        <v>12</v>
      </c>
      <c r="E130" s="4">
        <v>60</v>
      </c>
    </row>
    <row r="131" spans="1:5" x14ac:dyDescent="0.3">
      <c r="A131" s="1">
        <v>45348</v>
      </c>
      <c r="B131">
        <v>20</v>
      </c>
      <c r="C131" s="4">
        <v>0</v>
      </c>
      <c r="D131" s="4">
        <v>11</v>
      </c>
      <c r="E131" s="4">
        <v>56</v>
      </c>
    </row>
    <row r="132" spans="1:5" x14ac:dyDescent="0.3">
      <c r="A132" s="1">
        <v>45348</v>
      </c>
      <c r="B132">
        <v>21</v>
      </c>
      <c r="C132" s="4">
        <v>0</v>
      </c>
      <c r="D132" s="4">
        <v>10</v>
      </c>
      <c r="E132" s="4">
        <v>54</v>
      </c>
    </row>
    <row r="133" spans="1:5" x14ac:dyDescent="0.3">
      <c r="A133" s="1">
        <v>45348</v>
      </c>
      <c r="B133">
        <v>22</v>
      </c>
      <c r="C133" s="4">
        <v>0</v>
      </c>
      <c r="D133" s="4">
        <v>10</v>
      </c>
      <c r="E133" s="4">
        <v>51</v>
      </c>
    </row>
    <row r="134" spans="1:5" x14ac:dyDescent="0.3">
      <c r="A134" s="1">
        <v>45348</v>
      </c>
      <c r="B134">
        <v>23</v>
      </c>
      <c r="C134" s="4">
        <v>0</v>
      </c>
      <c r="D134" s="4">
        <v>9</v>
      </c>
      <c r="E134" s="4">
        <v>49</v>
      </c>
    </row>
    <row r="135" spans="1:5" x14ac:dyDescent="0.3">
      <c r="A135" s="1">
        <v>45349</v>
      </c>
      <c r="B135">
        <v>0</v>
      </c>
      <c r="C135" s="4">
        <v>0</v>
      </c>
      <c r="D135" s="4">
        <v>9</v>
      </c>
      <c r="E135" s="4">
        <v>49</v>
      </c>
    </row>
    <row r="136" spans="1:5" x14ac:dyDescent="0.3">
      <c r="A136" s="1">
        <v>45349</v>
      </c>
      <c r="B136">
        <v>1</v>
      </c>
      <c r="C136" s="4">
        <v>0</v>
      </c>
      <c r="D136" s="4">
        <v>9</v>
      </c>
      <c r="E136" s="4">
        <v>51</v>
      </c>
    </row>
    <row r="137" spans="1:5" x14ac:dyDescent="0.3">
      <c r="A137" s="1">
        <v>45349</v>
      </c>
      <c r="B137">
        <v>2</v>
      </c>
      <c r="C137" s="4">
        <v>0</v>
      </c>
      <c r="D137" s="4">
        <v>9</v>
      </c>
      <c r="E137" s="4">
        <v>51</v>
      </c>
    </row>
    <row r="138" spans="1:5" x14ac:dyDescent="0.3">
      <c r="A138" s="1">
        <v>45349</v>
      </c>
      <c r="B138">
        <v>3</v>
      </c>
      <c r="C138" s="4">
        <v>0</v>
      </c>
      <c r="D138" s="4">
        <v>9</v>
      </c>
      <c r="E138" s="4">
        <v>49</v>
      </c>
    </row>
    <row r="139" spans="1:5" x14ac:dyDescent="0.3">
      <c r="A139" s="1">
        <v>45349</v>
      </c>
      <c r="B139">
        <v>4</v>
      </c>
      <c r="C139" s="4">
        <v>0</v>
      </c>
      <c r="D139" s="4">
        <v>8</v>
      </c>
      <c r="E139" s="4">
        <v>47</v>
      </c>
    </row>
    <row r="140" spans="1:5" x14ac:dyDescent="0.3">
      <c r="A140" s="1">
        <v>45349</v>
      </c>
      <c r="B140">
        <v>5</v>
      </c>
      <c r="C140" s="4">
        <v>0</v>
      </c>
      <c r="D140" s="4">
        <v>8</v>
      </c>
      <c r="E140" s="4">
        <v>44</v>
      </c>
    </row>
    <row r="141" spans="1:5" x14ac:dyDescent="0.3">
      <c r="A141" s="1">
        <v>45349</v>
      </c>
      <c r="B141">
        <v>6</v>
      </c>
      <c r="C141" s="4">
        <v>0</v>
      </c>
      <c r="D141" s="4">
        <v>8</v>
      </c>
      <c r="E141" s="4">
        <v>41</v>
      </c>
    </row>
    <row r="142" spans="1:5" x14ac:dyDescent="0.3">
      <c r="A142" s="1">
        <v>45349</v>
      </c>
      <c r="B142">
        <v>7</v>
      </c>
      <c r="C142" s="4">
        <v>0</v>
      </c>
      <c r="D142" s="4">
        <v>8</v>
      </c>
      <c r="E142" s="4">
        <v>37</v>
      </c>
    </row>
    <row r="143" spans="1:5" x14ac:dyDescent="0.3">
      <c r="A143" s="1">
        <v>45349</v>
      </c>
      <c r="B143">
        <v>8</v>
      </c>
      <c r="C143" s="4">
        <v>29</v>
      </c>
      <c r="D143" s="4">
        <v>8</v>
      </c>
      <c r="E143" s="4">
        <v>34</v>
      </c>
    </row>
    <row r="144" spans="1:5" x14ac:dyDescent="0.3">
      <c r="A144" s="1">
        <v>45349</v>
      </c>
      <c r="B144">
        <v>9</v>
      </c>
      <c r="C144" s="4">
        <v>130</v>
      </c>
      <c r="D144" s="4">
        <v>8</v>
      </c>
      <c r="E144" s="4">
        <v>31</v>
      </c>
    </row>
    <row r="145" spans="1:5" x14ac:dyDescent="0.3">
      <c r="A145" s="1">
        <v>45349</v>
      </c>
      <c r="B145">
        <v>10</v>
      </c>
      <c r="C145" s="4">
        <v>250</v>
      </c>
      <c r="D145" s="4">
        <v>8</v>
      </c>
      <c r="E145" s="4">
        <v>26</v>
      </c>
    </row>
    <row r="146" spans="1:5" x14ac:dyDescent="0.3">
      <c r="A146" s="1">
        <v>45349</v>
      </c>
      <c r="B146">
        <v>11</v>
      </c>
      <c r="C146" s="4">
        <v>348</v>
      </c>
      <c r="D146" s="4">
        <v>8</v>
      </c>
      <c r="E146" s="4">
        <v>25</v>
      </c>
    </row>
    <row r="147" spans="1:5" x14ac:dyDescent="0.3">
      <c r="A147" s="1">
        <v>45349</v>
      </c>
      <c r="B147">
        <v>12</v>
      </c>
      <c r="C147" s="4">
        <v>419</v>
      </c>
      <c r="D147" s="4">
        <v>9</v>
      </c>
      <c r="E147" s="4">
        <v>23</v>
      </c>
    </row>
    <row r="148" spans="1:5" x14ac:dyDescent="0.3">
      <c r="A148" s="1">
        <v>45349</v>
      </c>
      <c r="B148">
        <v>13</v>
      </c>
      <c r="C148" s="4">
        <v>447</v>
      </c>
      <c r="D148" s="4">
        <v>9</v>
      </c>
      <c r="E148" s="4">
        <v>21</v>
      </c>
    </row>
    <row r="149" spans="1:5" x14ac:dyDescent="0.3">
      <c r="A149" s="1">
        <v>45349</v>
      </c>
      <c r="B149">
        <v>14</v>
      </c>
      <c r="C149" s="4">
        <v>438</v>
      </c>
      <c r="D149" s="4">
        <v>10</v>
      </c>
      <c r="E149" s="4">
        <v>18</v>
      </c>
    </row>
    <row r="150" spans="1:5" x14ac:dyDescent="0.3">
      <c r="A150" s="1">
        <v>45349</v>
      </c>
      <c r="B150">
        <v>15</v>
      </c>
      <c r="C150" s="4">
        <v>396</v>
      </c>
      <c r="D150" s="4">
        <v>10</v>
      </c>
      <c r="E150" s="4">
        <v>13</v>
      </c>
    </row>
    <row r="151" spans="1:5" x14ac:dyDescent="0.3">
      <c r="A151" s="1">
        <v>45349</v>
      </c>
      <c r="B151">
        <v>16</v>
      </c>
      <c r="C151" s="4">
        <v>293</v>
      </c>
      <c r="D151" s="4">
        <v>10</v>
      </c>
      <c r="E151" s="4">
        <v>11</v>
      </c>
    </row>
    <row r="152" spans="1:5" x14ac:dyDescent="0.3">
      <c r="A152" s="1">
        <v>45349</v>
      </c>
      <c r="B152">
        <v>17</v>
      </c>
      <c r="C152" s="4">
        <v>152</v>
      </c>
      <c r="D152" s="4">
        <v>11</v>
      </c>
      <c r="E152" s="4">
        <v>14</v>
      </c>
    </row>
    <row r="153" spans="1:5" x14ac:dyDescent="0.3">
      <c r="A153" s="1">
        <v>45349</v>
      </c>
      <c r="B153">
        <v>18</v>
      </c>
      <c r="C153" s="4">
        <v>26</v>
      </c>
      <c r="D153" s="4">
        <v>10</v>
      </c>
      <c r="E153" s="4">
        <v>10</v>
      </c>
    </row>
    <row r="154" spans="1:5" x14ac:dyDescent="0.3">
      <c r="A154" s="1">
        <v>45349</v>
      </c>
      <c r="B154">
        <v>19</v>
      </c>
      <c r="C154" s="4">
        <v>0</v>
      </c>
      <c r="D154" s="4">
        <v>8</v>
      </c>
      <c r="E154" s="4">
        <v>10</v>
      </c>
    </row>
    <row r="155" spans="1:5" x14ac:dyDescent="0.3">
      <c r="A155" s="1">
        <v>45349</v>
      </c>
      <c r="B155">
        <v>20</v>
      </c>
      <c r="C155" s="4">
        <v>0</v>
      </c>
      <c r="D155" s="4">
        <v>7</v>
      </c>
      <c r="E155" s="4">
        <v>10</v>
      </c>
    </row>
    <row r="156" spans="1:5" x14ac:dyDescent="0.3">
      <c r="A156" s="1">
        <v>45349</v>
      </c>
      <c r="B156">
        <v>21</v>
      </c>
      <c r="C156" s="4">
        <v>0</v>
      </c>
      <c r="D156" s="4">
        <v>6</v>
      </c>
      <c r="E156" s="4">
        <v>10</v>
      </c>
    </row>
    <row r="157" spans="1:5" x14ac:dyDescent="0.3">
      <c r="A157" s="1">
        <v>45349</v>
      </c>
      <c r="B157">
        <v>22</v>
      </c>
      <c r="C157" s="4">
        <v>0</v>
      </c>
      <c r="D157" s="4">
        <v>5</v>
      </c>
      <c r="E157" s="4">
        <v>10</v>
      </c>
    </row>
    <row r="158" spans="1:5" x14ac:dyDescent="0.3">
      <c r="A158" s="1">
        <v>45349</v>
      </c>
      <c r="B158">
        <v>23</v>
      </c>
      <c r="C158" s="4">
        <v>0</v>
      </c>
      <c r="D158" s="4">
        <v>5</v>
      </c>
      <c r="E158" s="4">
        <v>10</v>
      </c>
    </row>
    <row r="159" spans="1:5" x14ac:dyDescent="0.3">
      <c r="A159" s="1">
        <v>45350</v>
      </c>
      <c r="B159">
        <v>0</v>
      </c>
      <c r="C159" s="4">
        <v>0</v>
      </c>
      <c r="D159" s="4">
        <v>4</v>
      </c>
      <c r="E159" s="4">
        <v>10</v>
      </c>
    </row>
    <row r="160" spans="1:5" x14ac:dyDescent="0.3">
      <c r="A160" s="1">
        <v>45350</v>
      </c>
      <c r="B160">
        <v>1</v>
      </c>
      <c r="C160" s="4">
        <v>0</v>
      </c>
      <c r="D160" s="4">
        <v>4</v>
      </c>
      <c r="E160" s="4">
        <v>9</v>
      </c>
    </row>
    <row r="161" spans="1:5" x14ac:dyDescent="0.3">
      <c r="A161" s="1">
        <v>45350</v>
      </c>
      <c r="B161">
        <v>2</v>
      </c>
      <c r="C161" s="4">
        <v>0</v>
      </c>
      <c r="D161" s="4">
        <v>3</v>
      </c>
      <c r="E161" s="4">
        <v>7</v>
      </c>
    </row>
    <row r="162" spans="1:5" x14ac:dyDescent="0.3">
      <c r="A162" s="1">
        <v>45350</v>
      </c>
      <c r="B162">
        <v>3</v>
      </c>
      <c r="C162" s="4">
        <v>0</v>
      </c>
      <c r="D162" s="4">
        <v>2</v>
      </c>
      <c r="E162" s="4">
        <v>6</v>
      </c>
    </row>
    <row r="163" spans="1:5" x14ac:dyDescent="0.3">
      <c r="A163" s="1">
        <v>45350</v>
      </c>
      <c r="B163">
        <v>4</v>
      </c>
      <c r="C163" s="4">
        <v>0</v>
      </c>
      <c r="D163" s="4">
        <v>2</v>
      </c>
      <c r="E163" s="4">
        <v>5</v>
      </c>
    </row>
    <row r="164" spans="1:5" x14ac:dyDescent="0.3">
      <c r="A164" s="1">
        <v>45350</v>
      </c>
      <c r="B164">
        <v>5</v>
      </c>
      <c r="C164" s="4">
        <v>0</v>
      </c>
      <c r="D164" s="4">
        <v>2</v>
      </c>
      <c r="E164" s="4">
        <v>5</v>
      </c>
    </row>
    <row r="165" spans="1:5" x14ac:dyDescent="0.3">
      <c r="A165" s="1">
        <v>45350</v>
      </c>
      <c r="B165">
        <v>6</v>
      </c>
      <c r="C165" s="4">
        <v>0</v>
      </c>
      <c r="D165" s="4">
        <v>2</v>
      </c>
      <c r="E165" s="4">
        <v>5</v>
      </c>
    </row>
    <row r="166" spans="1:5" x14ac:dyDescent="0.3">
      <c r="A166" s="1">
        <v>45350</v>
      </c>
      <c r="B166">
        <v>7</v>
      </c>
      <c r="C166" s="4">
        <v>0</v>
      </c>
      <c r="D166" s="4">
        <v>2</v>
      </c>
      <c r="E166" s="4">
        <v>4</v>
      </c>
    </row>
    <row r="167" spans="1:5" x14ac:dyDescent="0.3">
      <c r="A167" s="1">
        <v>45350</v>
      </c>
      <c r="B167">
        <v>8</v>
      </c>
      <c r="C167" s="4">
        <v>59</v>
      </c>
      <c r="D167" s="4">
        <v>2</v>
      </c>
      <c r="E167" s="4">
        <v>0</v>
      </c>
    </row>
    <row r="168" spans="1:5" x14ac:dyDescent="0.3">
      <c r="A168" s="1">
        <v>45350</v>
      </c>
      <c r="B168">
        <v>9</v>
      </c>
      <c r="C168" s="4">
        <v>222</v>
      </c>
      <c r="D168" s="4">
        <v>3</v>
      </c>
      <c r="E168" s="4">
        <v>0</v>
      </c>
    </row>
    <row r="169" spans="1:5" x14ac:dyDescent="0.3">
      <c r="A169" s="1">
        <v>45350</v>
      </c>
      <c r="B169">
        <v>10</v>
      </c>
      <c r="C169" s="4">
        <v>383</v>
      </c>
      <c r="D169" s="4">
        <v>4</v>
      </c>
      <c r="E169" s="4">
        <v>0</v>
      </c>
    </row>
    <row r="170" spans="1:5" x14ac:dyDescent="0.3">
      <c r="A170" s="1">
        <v>45350</v>
      </c>
      <c r="B170">
        <v>11</v>
      </c>
      <c r="C170" s="4">
        <v>509</v>
      </c>
      <c r="D170" s="4">
        <v>6</v>
      </c>
      <c r="E170" s="4">
        <v>0</v>
      </c>
    </row>
    <row r="171" spans="1:5" x14ac:dyDescent="0.3">
      <c r="A171" s="1">
        <v>45350</v>
      </c>
      <c r="B171">
        <v>12</v>
      </c>
      <c r="C171" s="4">
        <v>585</v>
      </c>
      <c r="D171" s="4">
        <v>7</v>
      </c>
      <c r="E171" s="4">
        <v>0</v>
      </c>
    </row>
    <row r="172" spans="1:5" x14ac:dyDescent="0.3">
      <c r="A172" s="1">
        <v>45350</v>
      </c>
      <c r="B172">
        <v>13</v>
      </c>
      <c r="C172" s="4">
        <v>602</v>
      </c>
      <c r="D172" s="4">
        <v>8</v>
      </c>
      <c r="E172" s="4">
        <v>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aw"/>
  <dimension ref="A1:Q169"/>
  <sheetViews>
    <sheetView workbookViewId="0">
      <pane ySplit="1" topLeftCell="A278" activePane="bottomLeft" state="frozen"/>
      <selection pane="bottomLeft" activeCell="H290" sqref="H290"/>
    </sheetView>
  </sheetViews>
  <sheetFormatPr defaultRowHeight="14.4" x14ac:dyDescent="0.3"/>
  <cols>
    <col min="1" max="1" width="6" bestFit="1" customWidth="1"/>
    <col min="6" max="6" width="10.109375" bestFit="1" customWidth="1"/>
    <col min="7" max="7" width="17.44140625" bestFit="1" customWidth="1"/>
    <col min="12" max="12" width="15.6640625" bestFit="1" customWidth="1"/>
    <col min="13" max="13" width="19.88671875" bestFit="1" customWidth="1"/>
    <col min="15" max="15" width="10.109375" bestFit="1" customWidth="1"/>
    <col min="16" max="16" width="9.44140625" bestFit="1" customWidth="1"/>
    <col min="17" max="17" width="9.6640625" bestFit="1" customWidth="1"/>
  </cols>
  <sheetData>
    <row r="1" spans="1:17" x14ac:dyDescent="0.3">
      <c r="A1" t="s">
        <v>22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0</v>
      </c>
      <c r="J1" t="s">
        <v>17</v>
      </c>
      <c r="K1" t="s">
        <v>18</v>
      </c>
      <c r="L1" t="s">
        <v>1</v>
      </c>
      <c r="M1" t="s">
        <v>2</v>
      </c>
      <c r="N1" t="s">
        <v>19</v>
      </c>
      <c r="O1" t="s">
        <v>4</v>
      </c>
      <c r="P1" t="s">
        <v>5</v>
      </c>
      <c r="Q1" t="s">
        <v>7</v>
      </c>
    </row>
    <row r="2" spans="1:17" x14ac:dyDescent="0.3">
      <c r="A2">
        <v>98</v>
      </c>
      <c r="B2">
        <v>145</v>
      </c>
      <c r="C2">
        <v>48</v>
      </c>
      <c r="D2">
        <v>0</v>
      </c>
      <c r="E2">
        <v>0</v>
      </c>
      <c r="F2">
        <v>0</v>
      </c>
      <c r="G2">
        <v>0</v>
      </c>
      <c r="H2">
        <v>98</v>
      </c>
      <c r="I2">
        <v>6</v>
      </c>
      <c r="J2">
        <v>59</v>
      </c>
      <c r="K2">
        <v>161</v>
      </c>
      <c r="L2">
        <v>81</v>
      </c>
      <c r="M2" s="3">
        <v>45343.5</v>
      </c>
      <c r="N2" t="s">
        <v>3</v>
      </c>
      <c r="O2" s="1">
        <f t="shared" ref="O2" si="0">IF(HOUR(M2)&gt;=22,INT(M2)+1,INT(M2))</f>
        <v>45343</v>
      </c>
      <c r="P2">
        <f t="shared" ref="P2" si="1">IF(HOUR(M2)=22,0,IF(HOUR(M2)=23,1,HOUR(M2)+2))</f>
        <v>14</v>
      </c>
      <c r="Q2">
        <f t="shared" ref="Q2" si="2">MINUTE(M2)</f>
        <v>0</v>
      </c>
    </row>
    <row r="3" spans="1:17" x14ac:dyDescent="0.3">
      <c r="A3">
        <v>107</v>
      </c>
      <c r="B3">
        <v>139</v>
      </c>
      <c r="C3">
        <v>59</v>
      </c>
      <c r="D3">
        <v>0</v>
      </c>
      <c r="E3">
        <v>0</v>
      </c>
      <c r="F3">
        <v>0</v>
      </c>
      <c r="G3">
        <v>0</v>
      </c>
      <c r="H3">
        <v>107</v>
      </c>
      <c r="I3">
        <v>7</v>
      </c>
      <c r="J3">
        <v>64</v>
      </c>
      <c r="K3">
        <v>145</v>
      </c>
      <c r="L3">
        <v>76</v>
      </c>
      <c r="M3" s="3">
        <v>45343.541666666664</v>
      </c>
      <c r="N3" t="s">
        <v>3</v>
      </c>
      <c r="O3" s="1">
        <f t="shared" ref="O3" si="3">IF(HOUR(M3)&gt;=22,INT(M3)+1,INT(M3))</f>
        <v>45343</v>
      </c>
      <c r="P3">
        <f t="shared" ref="P3" si="4">IF(HOUR(M3)=22,0,IF(HOUR(M3)=23,1,HOUR(M3)+2))</f>
        <v>15</v>
      </c>
      <c r="Q3">
        <f t="shared" ref="Q3" si="5">MINUTE(M3)</f>
        <v>0</v>
      </c>
    </row>
    <row r="4" spans="1:17" x14ac:dyDescent="0.3">
      <c r="A4">
        <v>136</v>
      </c>
      <c r="B4">
        <v>181</v>
      </c>
      <c r="C4">
        <v>76</v>
      </c>
      <c r="D4">
        <v>1</v>
      </c>
      <c r="E4">
        <v>2</v>
      </c>
      <c r="F4">
        <v>56</v>
      </c>
      <c r="G4">
        <v>0</v>
      </c>
      <c r="H4">
        <v>136</v>
      </c>
      <c r="I4">
        <v>7</v>
      </c>
      <c r="J4">
        <v>71</v>
      </c>
      <c r="K4">
        <v>131</v>
      </c>
      <c r="L4">
        <v>56</v>
      </c>
      <c r="M4" s="3">
        <v>45343.583333333336</v>
      </c>
      <c r="N4" t="s">
        <v>3</v>
      </c>
      <c r="O4" s="1">
        <f t="shared" ref="O4" si="6">IF(HOUR(M4)&gt;=22,INT(M4)+1,INT(M4))</f>
        <v>45343</v>
      </c>
      <c r="P4">
        <f t="shared" ref="P4" si="7">IF(HOUR(M4)=22,0,IF(HOUR(M4)=23,1,HOUR(M4)+2))</f>
        <v>16</v>
      </c>
      <c r="Q4">
        <f t="shared" ref="Q4" si="8">MINUTE(M4)</f>
        <v>0</v>
      </c>
    </row>
    <row r="5" spans="1:17" x14ac:dyDescent="0.3">
      <c r="A5">
        <v>108</v>
      </c>
      <c r="B5">
        <v>153</v>
      </c>
      <c r="C5">
        <v>52</v>
      </c>
      <c r="D5">
        <v>27</v>
      </c>
      <c r="E5">
        <v>140</v>
      </c>
      <c r="F5">
        <v>552</v>
      </c>
      <c r="G5">
        <v>0</v>
      </c>
      <c r="H5">
        <v>82</v>
      </c>
      <c r="I5">
        <v>6</v>
      </c>
      <c r="J5">
        <v>79</v>
      </c>
      <c r="K5">
        <v>119</v>
      </c>
      <c r="L5">
        <v>29</v>
      </c>
      <c r="M5" s="3">
        <v>45343.625</v>
      </c>
      <c r="N5" t="s">
        <v>3</v>
      </c>
      <c r="O5" s="1">
        <f t="shared" ref="O5" si="9">IF(HOUR(M5)&gt;=22,INT(M5)+1,INT(M5))</f>
        <v>45343</v>
      </c>
      <c r="P5">
        <f t="shared" ref="P5" si="10">IF(HOUR(M5)=22,0,IF(HOUR(M5)=23,1,HOUR(M5)+2))</f>
        <v>17</v>
      </c>
      <c r="Q5">
        <f t="shared" ref="Q5" si="11">MINUTE(M5)</f>
        <v>0</v>
      </c>
    </row>
    <row r="6" spans="1:17" x14ac:dyDescent="0.3">
      <c r="A6">
        <v>10</v>
      </c>
      <c r="B6">
        <v>14</v>
      </c>
      <c r="C6">
        <v>5</v>
      </c>
      <c r="D6">
        <v>0</v>
      </c>
      <c r="E6">
        <v>2</v>
      </c>
      <c r="F6">
        <v>59</v>
      </c>
      <c r="G6">
        <v>0</v>
      </c>
      <c r="H6">
        <v>10</v>
      </c>
      <c r="I6">
        <v>5</v>
      </c>
      <c r="J6">
        <v>89</v>
      </c>
      <c r="K6">
        <v>107</v>
      </c>
      <c r="L6">
        <v>26</v>
      </c>
      <c r="M6" s="3">
        <v>45343.666666666664</v>
      </c>
      <c r="N6" t="s">
        <v>3</v>
      </c>
      <c r="O6" s="1">
        <f t="shared" ref="O6" si="12">IF(HOUR(M6)&gt;=22,INT(M6)+1,INT(M6))</f>
        <v>45343</v>
      </c>
      <c r="P6">
        <f t="shared" ref="P6" si="13">IF(HOUR(M6)=22,0,IF(HOUR(M6)=23,1,HOUR(M6)+2))</f>
        <v>18</v>
      </c>
      <c r="Q6">
        <f t="shared" ref="Q6" si="14">MINUTE(M6)</f>
        <v>0</v>
      </c>
    </row>
    <row r="7" spans="1:17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4</v>
      </c>
      <c r="J7">
        <v>99</v>
      </c>
      <c r="K7">
        <v>97</v>
      </c>
      <c r="L7">
        <v>24</v>
      </c>
      <c r="M7" s="3">
        <v>45343.708333333336</v>
      </c>
      <c r="N7" t="s">
        <v>3</v>
      </c>
      <c r="O7" s="1">
        <f t="shared" ref="O7:O8" si="15">IF(HOUR(M7)&gt;=22,INT(M7)+1,INT(M7))</f>
        <v>45343</v>
      </c>
      <c r="P7">
        <f t="shared" ref="P7:P8" si="16">IF(HOUR(M7)=22,0,IF(HOUR(M7)=23,1,HOUR(M7)+2))</f>
        <v>19</v>
      </c>
      <c r="Q7">
        <f t="shared" ref="Q7:Q8" si="17">MINUTE(M7)</f>
        <v>0</v>
      </c>
    </row>
    <row r="8" spans="1:17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4</v>
      </c>
      <c r="J8">
        <v>109</v>
      </c>
      <c r="K8">
        <v>86</v>
      </c>
      <c r="L8">
        <v>24</v>
      </c>
      <c r="M8" s="3">
        <v>45343.75</v>
      </c>
      <c r="N8" t="s">
        <v>3</v>
      </c>
      <c r="O8" s="1">
        <f t="shared" si="15"/>
        <v>45343</v>
      </c>
      <c r="P8">
        <f t="shared" si="16"/>
        <v>20</v>
      </c>
      <c r="Q8">
        <f t="shared" si="17"/>
        <v>0</v>
      </c>
    </row>
    <row r="9" spans="1:17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4</v>
      </c>
      <c r="J9">
        <v>119</v>
      </c>
      <c r="K9">
        <v>74</v>
      </c>
      <c r="L9">
        <v>25</v>
      </c>
      <c r="M9" s="3">
        <v>45343.791666666664</v>
      </c>
      <c r="N9" t="s">
        <v>3</v>
      </c>
      <c r="O9" s="1">
        <f t="shared" ref="O9:O10" si="18">IF(HOUR(M9)&gt;=22,INT(M9)+1,INT(M9))</f>
        <v>45343</v>
      </c>
      <c r="P9">
        <f t="shared" ref="P9:P10" si="19">IF(HOUR(M9)=22,0,IF(HOUR(M9)=23,1,HOUR(M9)+2))</f>
        <v>21</v>
      </c>
      <c r="Q9">
        <f t="shared" ref="Q9:Q10" si="20">MINUTE(M9)</f>
        <v>0</v>
      </c>
    </row>
    <row r="10" spans="1:17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4</v>
      </c>
      <c r="J10">
        <v>129</v>
      </c>
      <c r="K10">
        <v>61</v>
      </c>
      <c r="L10">
        <v>24</v>
      </c>
      <c r="M10" s="3">
        <v>45343.833333333336</v>
      </c>
      <c r="N10" t="s">
        <v>3</v>
      </c>
      <c r="O10" s="1">
        <f t="shared" si="18"/>
        <v>45343</v>
      </c>
      <c r="P10">
        <f t="shared" si="19"/>
        <v>22</v>
      </c>
      <c r="Q10">
        <f t="shared" si="20"/>
        <v>0</v>
      </c>
    </row>
    <row r="11" spans="1:17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3</v>
      </c>
      <c r="J11">
        <v>137</v>
      </c>
      <c r="K11">
        <v>44</v>
      </c>
      <c r="L11">
        <v>24</v>
      </c>
      <c r="M11" s="3">
        <v>45343.875</v>
      </c>
      <c r="N11" t="s">
        <v>3</v>
      </c>
      <c r="O11" s="1">
        <f t="shared" ref="O11" si="21">IF(HOUR(M11)&gt;=22,INT(M11)+1,INT(M11))</f>
        <v>45343</v>
      </c>
      <c r="P11">
        <f t="shared" ref="P11" si="22">IF(HOUR(M11)=22,0,IF(HOUR(M11)=23,1,HOUR(M11)+2))</f>
        <v>23</v>
      </c>
      <c r="Q11">
        <f t="shared" ref="Q11" si="23">MINUTE(M11)</f>
        <v>0</v>
      </c>
    </row>
    <row r="12" spans="1:17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3</v>
      </c>
      <c r="J12">
        <v>143</v>
      </c>
      <c r="K12">
        <v>23</v>
      </c>
      <c r="L12">
        <v>24</v>
      </c>
      <c r="M12" s="3">
        <v>45343.916666666664</v>
      </c>
      <c r="N12" t="s">
        <v>3</v>
      </c>
      <c r="O12" s="1">
        <f t="shared" ref="O12:O15" si="24">IF(HOUR(M12)&gt;=22,INT(M12)+1,INT(M12))</f>
        <v>45344</v>
      </c>
      <c r="P12">
        <f t="shared" ref="P12:P15" si="25">IF(HOUR(M12)=22,0,IF(HOUR(M12)=23,1,HOUR(M12)+2))</f>
        <v>0</v>
      </c>
      <c r="Q12">
        <f t="shared" ref="Q12:Q15" si="26">MINUTE(M12)</f>
        <v>0</v>
      </c>
    </row>
    <row r="13" spans="1:17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145</v>
      </c>
      <c r="K13">
        <v>-2</v>
      </c>
      <c r="L13">
        <v>21</v>
      </c>
      <c r="M13" s="3">
        <v>45343.958333333336</v>
      </c>
      <c r="N13" t="s">
        <v>3</v>
      </c>
      <c r="O13" s="1">
        <f t="shared" si="24"/>
        <v>45344</v>
      </c>
      <c r="P13">
        <f t="shared" si="25"/>
        <v>1</v>
      </c>
      <c r="Q13">
        <f t="shared" si="26"/>
        <v>0</v>
      </c>
    </row>
    <row r="14" spans="1:17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2</v>
      </c>
      <c r="J14">
        <v>142</v>
      </c>
      <c r="K14">
        <v>-27</v>
      </c>
      <c r="L14">
        <v>21</v>
      </c>
      <c r="M14" s="3">
        <v>45344</v>
      </c>
      <c r="N14" t="s">
        <v>3</v>
      </c>
      <c r="O14" s="1">
        <f t="shared" si="24"/>
        <v>45344</v>
      </c>
      <c r="P14">
        <f t="shared" si="25"/>
        <v>2</v>
      </c>
      <c r="Q14">
        <f t="shared" si="26"/>
        <v>0</v>
      </c>
    </row>
    <row r="15" spans="1:17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</v>
      </c>
      <c r="J15">
        <v>136</v>
      </c>
      <c r="K15">
        <v>-47</v>
      </c>
      <c r="L15">
        <v>17</v>
      </c>
      <c r="M15" s="3">
        <v>45344.041666666664</v>
      </c>
      <c r="N15" t="s">
        <v>3</v>
      </c>
      <c r="O15" s="1">
        <f t="shared" si="24"/>
        <v>45344</v>
      </c>
      <c r="P15">
        <f t="shared" si="25"/>
        <v>3</v>
      </c>
      <c r="Q15">
        <f t="shared" si="26"/>
        <v>0</v>
      </c>
    </row>
    <row r="16" spans="1:17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2</v>
      </c>
      <c r="J16">
        <v>127</v>
      </c>
      <c r="K16">
        <v>-63</v>
      </c>
      <c r="L16">
        <v>14</v>
      </c>
      <c r="M16" s="3">
        <v>45344.083333333336</v>
      </c>
      <c r="N16" t="s">
        <v>3</v>
      </c>
      <c r="O16" s="1">
        <f t="shared" ref="O16:O19" si="27">IF(HOUR(M16)&gt;=22,INT(M16)+1,INT(M16))</f>
        <v>45344</v>
      </c>
      <c r="P16">
        <f t="shared" ref="P16:P19" si="28">IF(HOUR(M16)=22,0,IF(HOUR(M16)=23,1,HOUR(M16)+2))</f>
        <v>4</v>
      </c>
      <c r="Q16">
        <f t="shared" ref="Q16:Q19" si="29">MINUTE(M16)</f>
        <v>0</v>
      </c>
    </row>
    <row r="17" spans="1:17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117</v>
      </c>
      <c r="K17">
        <v>-76</v>
      </c>
      <c r="L17">
        <v>12</v>
      </c>
      <c r="M17" s="3">
        <v>45344.125</v>
      </c>
      <c r="N17" t="s">
        <v>3</v>
      </c>
      <c r="O17" s="1">
        <f t="shared" si="27"/>
        <v>45344</v>
      </c>
      <c r="P17">
        <f t="shared" si="28"/>
        <v>5</v>
      </c>
      <c r="Q17">
        <f t="shared" si="29"/>
        <v>0</v>
      </c>
    </row>
    <row r="18" spans="1:17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1</v>
      </c>
      <c r="J18">
        <v>107</v>
      </c>
      <c r="K18">
        <v>-88</v>
      </c>
      <c r="L18">
        <v>12</v>
      </c>
      <c r="M18" s="3">
        <v>45344.166666666664</v>
      </c>
      <c r="N18" t="s">
        <v>3</v>
      </c>
      <c r="O18" s="1">
        <f t="shared" si="27"/>
        <v>45344</v>
      </c>
      <c r="P18">
        <f t="shared" si="28"/>
        <v>6</v>
      </c>
      <c r="Q18">
        <f t="shared" si="29"/>
        <v>0</v>
      </c>
    </row>
    <row r="19" spans="1:17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97</v>
      </c>
      <c r="K19">
        <v>-98</v>
      </c>
      <c r="L19">
        <v>12</v>
      </c>
      <c r="M19" s="3">
        <v>45344.208333333336</v>
      </c>
      <c r="N19" t="s">
        <v>3</v>
      </c>
      <c r="O19" s="1">
        <f t="shared" si="27"/>
        <v>45344</v>
      </c>
      <c r="P19">
        <f t="shared" si="28"/>
        <v>7</v>
      </c>
      <c r="Q19">
        <f t="shared" si="29"/>
        <v>0</v>
      </c>
    </row>
    <row r="20" spans="1:17" x14ac:dyDescent="0.3">
      <c r="A20">
        <v>31</v>
      </c>
      <c r="B20">
        <v>36</v>
      </c>
      <c r="C20">
        <v>13</v>
      </c>
      <c r="D20">
        <v>9</v>
      </c>
      <c r="E20">
        <v>104</v>
      </c>
      <c r="F20">
        <v>198</v>
      </c>
      <c r="G20">
        <v>0</v>
      </c>
      <c r="H20">
        <v>22</v>
      </c>
      <c r="I20">
        <v>1</v>
      </c>
      <c r="J20">
        <v>87</v>
      </c>
      <c r="K20">
        <v>-109</v>
      </c>
      <c r="L20">
        <v>13</v>
      </c>
      <c r="M20" s="3">
        <v>45344.25</v>
      </c>
      <c r="N20" t="s">
        <v>3</v>
      </c>
      <c r="O20" s="1">
        <f t="shared" ref="O20:O22" si="30">IF(HOUR(M20)&gt;=22,INT(M20)+1,INT(M20))</f>
        <v>45344</v>
      </c>
      <c r="P20">
        <f t="shared" ref="P20:P22" si="31">IF(HOUR(M20)=22,0,IF(HOUR(M20)=23,1,HOUR(M20)+2))</f>
        <v>8</v>
      </c>
      <c r="Q20">
        <f t="shared" ref="Q20:Q22" si="32">MINUTE(M20)</f>
        <v>0</v>
      </c>
    </row>
    <row r="21" spans="1:17" x14ac:dyDescent="0.3">
      <c r="A21">
        <v>158</v>
      </c>
      <c r="B21">
        <v>191</v>
      </c>
      <c r="C21">
        <v>82</v>
      </c>
      <c r="D21">
        <v>78</v>
      </c>
      <c r="E21">
        <v>353</v>
      </c>
      <c r="F21">
        <v>648</v>
      </c>
      <c r="G21">
        <v>0</v>
      </c>
      <c r="H21">
        <v>80</v>
      </c>
      <c r="I21">
        <v>3</v>
      </c>
      <c r="J21">
        <v>77</v>
      </c>
      <c r="K21">
        <v>-121</v>
      </c>
      <c r="L21">
        <v>17</v>
      </c>
      <c r="M21" s="3">
        <v>45344.291666666664</v>
      </c>
      <c r="N21" t="s">
        <v>3</v>
      </c>
      <c r="O21" s="1">
        <f t="shared" si="30"/>
        <v>45344</v>
      </c>
      <c r="P21">
        <f t="shared" si="31"/>
        <v>9</v>
      </c>
      <c r="Q21">
        <f t="shared" si="32"/>
        <v>0</v>
      </c>
    </row>
    <row r="22" spans="1:17" x14ac:dyDescent="0.3">
      <c r="A22">
        <v>303</v>
      </c>
      <c r="B22">
        <v>345</v>
      </c>
      <c r="C22">
        <v>155</v>
      </c>
      <c r="D22">
        <v>191</v>
      </c>
      <c r="E22">
        <v>530</v>
      </c>
      <c r="F22">
        <v>784</v>
      </c>
      <c r="G22">
        <v>0</v>
      </c>
      <c r="H22">
        <v>112</v>
      </c>
      <c r="I22">
        <v>4</v>
      </c>
      <c r="J22">
        <v>69</v>
      </c>
      <c r="K22">
        <v>-133</v>
      </c>
      <c r="L22">
        <v>12</v>
      </c>
      <c r="M22" s="3">
        <v>45344.333333333336</v>
      </c>
      <c r="N22" t="s">
        <v>3</v>
      </c>
      <c r="O22" s="1">
        <f t="shared" si="30"/>
        <v>45344</v>
      </c>
      <c r="P22">
        <f t="shared" si="31"/>
        <v>10</v>
      </c>
      <c r="Q22">
        <f t="shared" si="32"/>
        <v>0</v>
      </c>
    </row>
    <row r="23" spans="1:17" x14ac:dyDescent="0.3">
      <c r="A23">
        <v>427</v>
      </c>
      <c r="B23">
        <v>467</v>
      </c>
      <c r="C23">
        <v>211</v>
      </c>
      <c r="D23">
        <v>303</v>
      </c>
      <c r="E23">
        <v>652</v>
      </c>
      <c r="F23">
        <v>840</v>
      </c>
      <c r="G23">
        <v>2</v>
      </c>
      <c r="H23">
        <v>125</v>
      </c>
      <c r="I23">
        <v>5</v>
      </c>
      <c r="J23">
        <v>62</v>
      </c>
      <c r="K23">
        <v>-148</v>
      </c>
      <c r="L23">
        <v>8</v>
      </c>
      <c r="M23" s="3">
        <v>45344.375</v>
      </c>
      <c r="N23" t="s">
        <v>3</v>
      </c>
      <c r="O23" s="1">
        <f t="shared" ref="O23:O30" si="33">IF(HOUR(M23)&gt;=22,INT(M23)+1,INT(M23))</f>
        <v>45344</v>
      </c>
      <c r="P23">
        <f t="shared" ref="P23:P30" si="34">IF(HOUR(M23)=22,0,IF(HOUR(M23)=23,1,HOUR(M23)+2))</f>
        <v>11</v>
      </c>
      <c r="Q23">
        <f t="shared" ref="Q23:Q30" si="35">MINUTE(M23)</f>
        <v>0</v>
      </c>
    </row>
    <row r="24" spans="1:17" x14ac:dyDescent="0.3">
      <c r="A24">
        <v>495</v>
      </c>
      <c r="B24">
        <v>541</v>
      </c>
      <c r="C24">
        <v>256</v>
      </c>
      <c r="D24">
        <v>352</v>
      </c>
      <c r="E24">
        <v>666</v>
      </c>
      <c r="F24">
        <v>860</v>
      </c>
      <c r="G24">
        <v>19</v>
      </c>
      <c r="H24">
        <v>143</v>
      </c>
      <c r="I24">
        <v>7</v>
      </c>
      <c r="J24">
        <v>58</v>
      </c>
      <c r="K24">
        <v>-164</v>
      </c>
      <c r="L24">
        <v>8</v>
      </c>
      <c r="M24" s="3">
        <v>45344.416666666664</v>
      </c>
      <c r="N24" t="s">
        <v>3</v>
      </c>
      <c r="O24" s="1">
        <f t="shared" si="33"/>
        <v>45344</v>
      </c>
      <c r="P24">
        <f t="shared" si="34"/>
        <v>12</v>
      </c>
      <c r="Q24">
        <f t="shared" si="35"/>
        <v>0</v>
      </c>
    </row>
    <row r="25" spans="1:17" x14ac:dyDescent="0.3">
      <c r="A25">
        <v>502</v>
      </c>
      <c r="B25">
        <v>563</v>
      </c>
      <c r="C25">
        <v>269</v>
      </c>
      <c r="D25">
        <v>339</v>
      </c>
      <c r="E25">
        <v>620</v>
      </c>
      <c r="F25">
        <v>865</v>
      </c>
      <c r="G25">
        <v>25</v>
      </c>
      <c r="H25">
        <v>162</v>
      </c>
      <c r="I25">
        <v>8</v>
      </c>
      <c r="J25">
        <v>57</v>
      </c>
      <c r="K25">
        <v>178</v>
      </c>
      <c r="L25">
        <v>11</v>
      </c>
      <c r="M25" s="3">
        <v>45344.458333333336</v>
      </c>
      <c r="N25" t="s">
        <v>3</v>
      </c>
      <c r="O25" s="1">
        <f t="shared" si="33"/>
        <v>45344</v>
      </c>
      <c r="P25">
        <f t="shared" si="34"/>
        <v>13</v>
      </c>
      <c r="Q25">
        <f t="shared" si="35"/>
        <v>0</v>
      </c>
    </row>
    <row r="26" spans="1:17" x14ac:dyDescent="0.3">
      <c r="A26">
        <v>468</v>
      </c>
      <c r="B26">
        <v>529</v>
      </c>
      <c r="C26">
        <v>262</v>
      </c>
      <c r="D26">
        <v>309</v>
      </c>
      <c r="E26">
        <v>593</v>
      </c>
      <c r="F26">
        <v>850</v>
      </c>
      <c r="G26">
        <v>36</v>
      </c>
      <c r="H26">
        <v>159</v>
      </c>
      <c r="I26">
        <v>8</v>
      </c>
      <c r="J26">
        <v>59</v>
      </c>
      <c r="K26">
        <v>161</v>
      </c>
      <c r="L26">
        <v>12</v>
      </c>
      <c r="M26" s="3">
        <v>45344.5</v>
      </c>
      <c r="N26" t="s">
        <v>3</v>
      </c>
      <c r="O26" s="1">
        <f t="shared" si="33"/>
        <v>45344</v>
      </c>
      <c r="P26">
        <f t="shared" si="34"/>
        <v>14</v>
      </c>
      <c r="Q26">
        <f t="shared" si="35"/>
        <v>0</v>
      </c>
    </row>
    <row r="27" spans="1:17" x14ac:dyDescent="0.3">
      <c r="A27">
        <v>389</v>
      </c>
      <c r="B27">
        <v>445</v>
      </c>
      <c r="C27">
        <v>219</v>
      </c>
      <c r="D27">
        <v>246</v>
      </c>
      <c r="E27">
        <v>548</v>
      </c>
      <c r="F27">
        <v>818</v>
      </c>
      <c r="G27">
        <v>28</v>
      </c>
      <c r="H27">
        <v>142</v>
      </c>
      <c r="I27">
        <v>9</v>
      </c>
      <c r="J27">
        <v>63</v>
      </c>
      <c r="K27">
        <v>145</v>
      </c>
      <c r="L27">
        <v>13</v>
      </c>
      <c r="M27" s="3">
        <v>45344.541666666664</v>
      </c>
      <c r="N27" t="s">
        <v>3</v>
      </c>
      <c r="O27" s="1">
        <f t="shared" si="33"/>
        <v>45344</v>
      </c>
      <c r="P27">
        <f t="shared" si="34"/>
        <v>15</v>
      </c>
      <c r="Q27">
        <f t="shared" si="35"/>
        <v>0</v>
      </c>
    </row>
    <row r="28" spans="1:17" x14ac:dyDescent="0.3">
      <c r="A28">
        <v>248</v>
      </c>
      <c r="B28">
        <v>316</v>
      </c>
      <c r="C28">
        <v>144</v>
      </c>
      <c r="D28">
        <v>117</v>
      </c>
      <c r="E28">
        <v>345</v>
      </c>
      <c r="F28">
        <v>749</v>
      </c>
      <c r="G28">
        <v>0</v>
      </c>
      <c r="H28">
        <v>131</v>
      </c>
      <c r="I28">
        <v>9</v>
      </c>
      <c r="J28">
        <v>70</v>
      </c>
      <c r="K28">
        <v>131</v>
      </c>
      <c r="L28">
        <v>22</v>
      </c>
      <c r="M28" s="3">
        <v>45344.583333333336</v>
      </c>
      <c r="N28" t="s">
        <v>3</v>
      </c>
      <c r="O28" s="1">
        <f t="shared" si="33"/>
        <v>45344</v>
      </c>
      <c r="P28">
        <f t="shared" si="34"/>
        <v>16</v>
      </c>
      <c r="Q28">
        <f t="shared" si="35"/>
        <v>0</v>
      </c>
    </row>
    <row r="29" spans="1:17" x14ac:dyDescent="0.3">
      <c r="A29">
        <v>114</v>
      </c>
      <c r="B29">
        <v>161</v>
      </c>
      <c r="C29">
        <v>64</v>
      </c>
      <c r="D29">
        <v>33</v>
      </c>
      <c r="E29">
        <v>168</v>
      </c>
      <c r="F29">
        <v>599</v>
      </c>
      <c r="G29">
        <v>0</v>
      </c>
      <c r="H29">
        <v>81</v>
      </c>
      <c r="I29">
        <v>8</v>
      </c>
      <c r="J29">
        <v>79</v>
      </c>
      <c r="K29">
        <v>118</v>
      </c>
      <c r="L29">
        <v>29</v>
      </c>
      <c r="M29" s="3">
        <v>45344.625</v>
      </c>
      <c r="N29" t="s">
        <v>3</v>
      </c>
      <c r="O29" s="1">
        <f t="shared" si="33"/>
        <v>45344</v>
      </c>
      <c r="P29">
        <f t="shared" si="34"/>
        <v>17</v>
      </c>
      <c r="Q29">
        <f t="shared" si="35"/>
        <v>0</v>
      </c>
    </row>
    <row r="30" spans="1:17" x14ac:dyDescent="0.3">
      <c r="A30">
        <v>12</v>
      </c>
      <c r="B30">
        <v>17</v>
      </c>
      <c r="C30">
        <v>6</v>
      </c>
      <c r="D30">
        <v>0</v>
      </c>
      <c r="E30">
        <v>4</v>
      </c>
      <c r="F30">
        <v>94</v>
      </c>
      <c r="G30">
        <v>0</v>
      </c>
      <c r="H30">
        <v>12</v>
      </c>
      <c r="I30">
        <v>7</v>
      </c>
      <c r="J30">
        <v>88</v>
      </c>
      <c r="K30">
        <v>107</v>
      </c>
      <c r="L30">
        <v>31</v>
      </c>
      <c r="M30" s="3">
        <v>45344.666666666664</v>
      </c>
      <c r="N30" t="s">
        <v>3</v>
      </c>
      <c r="O30" s="1">
        <f t="shared" si="33"/>
        <v>45344</v>
      </c>
      <c r="P30">
        <f t="shared" si="34"/>
        <v>18</v>
      </c>
      <c r="Q30">
        <f t="shared" si="35"/>
        <v>0</v>
      </c>
    </row>
    <row r="31" spans="1:17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7</v>
      </c>
      <c r="J31">
        <v>99</v>
      </c>
      <c r="K31">
        <v>96</v>
      </c>
      <c r="L31">
        <v>35</v>
      </c>
      <c r="M31" s="3">
        <v>45344.708333333336</v>
      </c>
      <c r="N31" t="s">
        <v>3</v>
      </c>
      <c r="O31" s="1">
        <f t="shared" ref="O31:O38" si="36">IF(HOUR(M31)&gt;=22,INT(M31)+1,INT(M31))</f>
        <v>45344</v>
      </c>
      <c r="P31">
        <f t="shared" ref="P31:P38" si="37">IF(HOUR(M31)=22,0,IF(HOUR(M31)=23,1,HOUR(M31)+2))</f>
        <v>19</v>
      </c>
      <c r="Q31">
        <f t="shared" ref="Q31:Q38" si="38">MINUTE(M31)</f>
        <v>0</v>
      </c>
    </row>
    <row r="32" spans="1:17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7</v>
      </c>
      <c r="J32">
        <v>109</v>
      </c>
      <c r="K32">
        <v>86</v>
      </c>
      <c r="L32">
        <v>36</v>
      </c>
      <c r="M32" s="3">
        <v>45344.75</v>
      </c>
      <c r="N32" t="s">
        <v>3</v>
      </c>
      <c r="O32" s="1">
        <f t="shared" si="36"/>
        <v>45344</v>
      </c>
      <c r="P32">
        <f t="shared" si="37"/>
        <v>20</v>
      </c>
      <c r="Q32">
        <f t="shared" si="38"/>
        <v>0</v>
      </c>
    </row>
    <row r="33" spans="1:17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6</v>
      </c>
      <c r="J33">
        <v>119</v>
      </c>
      <c r="K33">
        <v>74</v>
      </c>
      <c r="L33">
        <v>36</v>
      </c>
      <c r="M33" s="3">
        <v>45344.791666666664</v>
      </c>
      <c r="N33" t="s">
        <v>3</v>
      </c>
      <c r="O33" s="1">
        <f t="shared" si="36"/>
        <v>45344</v>
      </c>
      <c r="P33">
        <f t="shared" si="37"/>
        <v>21</v>
      </c>
      <c r="Q33">
        <f t="shared" si="38"/>
        <v>0</v>
      </c>
    </row>
    <row r="34" spans="1:17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6</v>
      </c>
      <c r="J34">
        <v>129</v>
      </c>
      <c r="K34">
        <v>60</v>
      </c>
      <c r="L34">
        <v>36</v>
      </c>
      <c r="M34" s="3">
        <v>45344.833333333336</v>
      </c>
      <c r="N34" t="s">
        <v>3</v>
      </c>
      <c r="O34" s="1">
        <f t="shared" si="36"/>
        <v>45344</v>
      </c>
      <c r="P34">
        <f t="shared" si="37"/>
        <v>22</v>
      </c>
      <c r="Q34">
        <f t="shared" si="38"/>
        <v>0</v>
      </c>
    </row>
    <row r="35" spans="1:17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6</v>
      </c>
      <c r="J35">
        <v>137</v>
      </c>
      <c r="K35">
        <v>44</v>
      </c>
      <c r="L35">
        <v>36</v>
      </c>
      <c r="M35" s="3">
        <v>45344.875</v>
      </c>
      <c r="N35" t="s">
        <v>3</v>
      </c>
      <c r="O35" s="1">
        <f t="shared" si="36"/>
        <v>45344</v>
      </c>
      <c r="P35">
        <f t="shared" si="37"/>
        <v>23</v>
      </c>
      <c r="Q35">
        <f t="shared" si="38"/>
        <v>0</v>
      </c>
    </row>
    <row r="36" spans="1:17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6</v>
      </c>
      <c r="J36">
        <v>143</v>
      </c>
      <c r="K36">
        <v>22</v>
      </c>
      <c r="L36">
        <v>32</v>
      </c>
      <c r="M36" s="3">
        <v>45344.916666666664</v>
      </c>
      <c r="N36" t="s">
        <v>3</v>
      </c>
      <c r="O36" s="1">
        <f t="shared" si="36"/>
        <v>45345</v>
      </c>
      <c r="P36">
        <f t="shared" si="37"/>
        <v>0</v>
      </c>
      <c r="Q36">
        <f t="shared" si="38"/>
        <v>0</v>
      </c>
    </row>
    <row r="37" spans="1:17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6</v>
      </c>
      <c r="J37">
        <v>144</v>
      </c>
      <c r="K37">
        <v>-2</v>
      </c>
      <c r="L37">
        <v>31</v>
      </c>
      <c r="M37" s="3">
        <v>45344.958333333336</v>
      </c>
      <c r="N37" t="s">
        <v>3</v>
      </c>
      <c r="O37" s="1">
        <f t="shared" si="36"/>
        <v>45345</v>
      </c>
      <c r="P37">
        <f t="shared" si="37"/>
        <v>1</v>
      </c>
      <c r="Q37">
        <f t="shared" si="38"/>
        <v>0</v>
      </c>
    </row>
    <row r="38" spans="1:17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6</v>
      </c>
      <c r="J38">
        <v>142</v>
      </c>
      <c r="K38">
        <v>-27</v>
      </c>
      <c r="L38">
        <v>32</v>
      </c>
      <c r="M38" s="3">
        <v>45345</v>
      </c>
      <c r="N38" t="s">
        <v>3</v>
      </c>
      <c r="O38" s="1">
        <f t="shared" si="36"/>
        <v>45345</v>
      </c>
      <c r="P38">
        <f t="shared" si="37"/>
        <v>2</v>
      </c>
      <c r="Q38">
        <f t="shared" si="38"/>
        <v>0</v>
      </c>
    </row>
    <row r="39" spans="1:17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6</v>
      </c>
      <c r="J39">
        <v>135</v>
      </c>
      <c r="K39">
        <v>-47</v>
      </c>
      <c r="L39">
        <v>32</v>
      </c>
      <c r="M39" s="3">
        <v>45345.041666666664</v>
      </c>
      <c r="N39" t="s">
        <v>3</v>
      </c>
      <c r="O39" s="1">
        <f t="shared" ref="O39:O43" si="39">IF(HOUR(M39)&gt;=22,INT(M39)+1,INT(M39))</f>
        <v>45345</v>
      </c>
      <c r="P39">
        <f t="shared" ref="P39:P43" si="40">IF(HOUR(M39)=22,0,IF(HOUR(M39)=23,1,HOUR(M39)+2))</f>
        <v>3</v>
      </c>
      <c r="Q39">
        <f t="shared" ref="Q39:Q43" si="41">MINUTE(M39)</f>
        <v>0</v>
      </c>
    </row>
    <row r="40" spans="1:17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6</v>
      </c>
      <c r="J40">
        <v>127</v>
      </c>
      <c r="K40">
        <v>-63</v>
      </c>
      <c r="L40">
        <v>33</v>
      </c>
      <c r="M40" s="3">
        <v>45345.083333333336</v>
      </c>
      <c r="N40" t="s">
        <v>3</v>
      </c>
      <c r="O40" s="1">
        <f t="shared" si="39"/>
        <v>45345</v>
      </c>
      <c r="P40">
        <f t="shared" si="40"/>
        <v>4</v>
      </c>
      <c r="Q40">
        <f t="shared" si="41"/>
        <v>0</v>
      </c>
    </row>
    <row r="41" spans="1:17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5</v>
      </c>
      <c r="J41">
        <v>117</v>
      </c>
      <c r="K41">
        <v>-76</v>
      </c>
      <c r="L41">
        <v>36</v>
      </c>
      <c r="M41" s="3">
        <v>45345.125</v>
      </c>
      <c r="N41" t="s">
        <v>3</v>
      </c>
      <c r="O41" s="1">
        <f t="shared" si="39"/>
        <v>45345</v>
      </c>
      <c r="P41">
        <f t="shared" si="40"/>
        <v>5</v>
      </c>
      <c r="Q41">
        <f t="shared" si="41"/>
        <v>0</v>
      </c>
    </row>
    <row r="42" spans="1:17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5</v>
      </c>
      <c r="J42">
        <v>107</v>
      </c>
      <c r="K42">
        <v>-88</v>
      </c>
      <c r="L42">
        <v>35</v>
      </c>
      <c r="M42" s="3">
        <v>45345.166666666664</v>
      </c>
      <c r="N42" t="s">
        <v>3</v>
      </c>
      <c r="O42" s="1">
        <f t="shared" si="39"/>
        <v>45345</v>
      </c>
      <c r="P42">
        <f t="shared" si="40"/>
        <v>6</v>
      </c>
      <c r="Q42">
        <f t="shared" si="41"/>
        <v>0</v>
      </c>
    </row>
    <row r="43" spans="1:17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5</v>
      </c>
      <c r="J43">
        <v>97</v>
      </c>
      <c r="K43">
        <v>-98</v>
      </c>
      <c r="L43">
        <v>34</v>
      </c>
      <c r="M43" s="3">
        <v>45345.208333333336</v>
      </c>
      <c r="N43" t="s">
        <v>3</v>
      </c>
      <c r="O43" s="1">
        <f t="shared" si="39"/>
        <v>45345</v>
      </c>
      <c r="P43">
        <f t="shared" si="40"/>
        <v>7</v>
      </c>
      <c r="Q43">
        <f t="shared" si="41"/>
        <v>0</v>
      </c>
    </row>
    <row r="44" spans="1:17" x14ac:dyDescent="0.3">
      <c r="A44">
        <v>24</v>
      </c>
      <c r="B44">
        <v>36</v>
      </c>
      <c r="C44">
        <v>11</v>
      </c>
      <c r="D44">
        <v>0</v>
      </c>
      <c r="E44">
        <v>0</v>
      </c>
      <c r="F44">
        <v>159</v>
      </c>
      <c r="G44">
        <v>0</v>
      </c>
      <c r="H44">
        <v>24</v>
      </c>
      <c r="I44">
        <v>5</v>
      </c>
      <c r="J44">
        <v>86</v>
      </c>
      <c r="K44">
        <v>-109</v>
      </c>
      <c r="L44">
        <v>35</v>
      </c>
      <c r="M44" s="3">
        <v>45345.25</v>
      </c>
      <c r="N44" t="s">
        <v>3</v>
      </c>
      <c r="O44" s="1">
        <f t="shared" ref="O44:O59" si="42">IF(HOUR(M44)&gt;=22,INT(M44)+1,INT(M44))</f>
        <v>45345</v>
      </c>
      <c r="P44">
        <f t="shared" ref="P44:P59" si="43">IF(HOUR(M44)=22,0,IF(HOUR(M44)=23,1,HOUR(M44)+2))</f>
        <v>8</v>
      </c>
      <c r="Q44">
        <f t="shared" ref="Q44:Q59" si="44">MINUTE(M44)</f>
        <v>0</v>
      </c>
    </row>
    <row r="45" spans="1:17" x14ac:dyDescent="0.3">
      <c r="A45">
        <v>127</v>
      </c>
      <c r="B45">
        <v>171</v>
      </c>
      <c r="C45">
        <v>70</v>
      </c>
      <c r="D45">
        <v>29</v>
      </c>
      <c r="E45">
        <v>126</v>
      </c>
      <c r="F45">
        <v>440</v>
      </c>
      <c r="G45">
        <v>0</v>
      </c>
      <c r="H45">
        <v>98</v>
      </c>
      <c r="I45">
        <v>6</v>
      </c>
      <c r="J45">
        <v>77</v>
      </c>
      <c r="K45">
        <v>-120</v>
      </c>
      <c r="L45">
        <v>33</v>
      </c>
      <c r="M45" s="3">
        <v>45345.291666666664</v>
      </c>
      <c r="N45" t="s">
        <v>3</v>
      </c>
      <c r="O45" s="1">
        <f t="shared" si="42"/>
        <v>45345</v>
      </c>
      <c r="P45">
        <f t="shared" si="43"/>
        <v>9</v>
      </c>
      <c r="Q45">
        <f t="shared" si="44"/>
        <v>0</v>
      </c>
    </row>
    <row r="46" spans="1:17" x14ac:dyDescent="0.3">
      <c r="A46">
        <v>228</v>
      </c>
      <c r="B46">
        <v>335</v>
      </c>
      <c r="C46">
        <v>122</v>
      </c>
      <c r="D46">
        <v>68</v>
      </c>
      <c r="E46">
        <v>187</v>
      </c>
      <c r="F46">
        <v>707</v>
      </c>
      <c r="G46">
        <v>0</v>
      </c>
      <c r="H46">
        <v>160</v>
      </c>
      <c r="I46">
        <v>8</v>
      </c>
      <c r="J46">
        <v>69</v>
      </c>
      <c r="K46">
        <v>-133</v>
      </c>
      <c r="L46">
        <v>33</v>
      </c>
      <c r="M46" s="3">
        <v>45345.333333333336</v>
      </c>
      <c r="N46" t="s">
        <v>3</v>
      </c>
      <c r="O46" s="1">
        <f t="shared" si="42"/>
        <v>45345</v>
      </c>
      <c r="P46">
        <f t="shared" si="43"/>
        <v>10</v>
      </c>
      <c r="Q46">
        <f t="shared" si="44"/>
        <v>0</v>
      </c>
    </row>
    <row r="47" spans="1:17" x14ac:dyDescent="0.3">
      <c r="A47">
        <v>309</v>
      </c>
      <c r="B47">
        <v>464</v>
      </c>
      <c r="C47">
        <v>160</v>
      </c>
      <c r="D47">
        <v>101</v>
      </c>
      <c r="E47">
        <v>216</v>
      </c>
      <c r="F47">
        <v>822</v>
      </c>
      <c r="G47">
        <v>0</v>
      </c>
      <c r="H47">
        <v>208</v>
      </c>
      <c r="I47">
        <v>9</v>
      </c>
      <c r="J47">
        <v>62</v>
      </c>
      <c r="K47">
        <v>-148</v>
      </c>
      <c r="L47">
        <v>33</v>
      </c>
      <c r="M47" s="3">
        <v>45345.375</v>
      </c>
      <c r="N47" t="s">
        <v>3</v>
      </c>
      <c r="O47" s="1">
        <f t="shared" si="42"/>
        <v>45345</v>
      </c>
      <c r="P47">
        <f t="shared" si="43"/>
        <v>11</v>
      </c>
      <c r="Q47">
        <f t="shared" si="44"/>
        <v>0</v>
      </c>
    </row>
    <row r="48" spans="1:17" x14ac:dyDescent="0.3">
      <c r="A48">
        <v>366</v>
      </c>
      <c r="B48">
        <v>541</v>
      </c>
      <c r="C48">
        <v>192</v>
      </c>
      <c r="D48">
        <v>131</v>
      </c>
      <c r="E48">
        <v>245</v>
      </c>
      <c r="F48">
        <v>858</v>
      </c>
      <c r="G48">
        <v>0</v>
      </c>
      <c r="H48">
        <v>235</v>
      </c>
      <c r="I48">
        <v>10</v>
      </c>
      <c r="J48">
        <v>58</v>
      </c>
      <c r="K48">
        <v>-164</v>
      </c>
      <c r="L48">
        <v>32</v>
      </c>
      <c r="M48" s="3">
        <v>45345.416666666664</v>
      </c>
      <c r="N48" t="s">
        <v>3</v>
      </c>
      <c r="O48" s="1">
        <f t="shared" si="42"/>
        <v>45345</v>
      </c>
      <c r="P48">
        <f t="shared" si="43"/>
        <v>12</v>
      </c>
      <c r="Q48">
        <f t="shared" si="44"/>
        <v>0</v>
      </c>
    </row>
    <row r="49" spans="1:17" x14ac:dyDescent="0.3">
      <c r="A49">
        <v>418</v>
      </c>
      <c r="B49">
        <v>563</v>
      </c>
      <c r="C49">
        <v>242</v>
      </c>
      <c r="D49">
        <v>193</v>
      </c>
      <c r="E49">
        <v>349</v>
      </c>
      <c r="F49">
        <v>867</v>
      </c>
      <c r="G49">
        <v>2</v>
      </c>
      <c r="H49">
        <v>225</v>
      </c>
      <c r="I49">
        <v>11</v>
      </c>
      <c r="J49">
        <v>56</v>
      </c>
      <c r="K49">
        <v>178</v>
      </c>
      <c r="L49">
        <v>26</v>
      </c>
      <c r="M49" s="3">
        <v>45345.458333333336</v>
      </c>
      <c r="N49" t="s">
        <v>3</v>
      </c>
      <c r="O49" s="1">
        <f t="shared" si="42"/>
        <v>45345</v>
      </c>
      <c r="P49">
        <f t="shared" si="43"/>
        <v>13</v>
      </c>
      <c r="Q49">
        <f t="shared" si="44"/>
        <v>0</v>
      </c>
    </row>
    <row r="50" spans="1:17" x14ac:dyDescent="0.3">
      <c r="A50">
        <v>434</v>
      </c>
      <c r="B50">
        <v>529</v>
      </c>
      <c r="C50">
        <v>269</v>
      </c>
      <c r="D50">
        <v>248</v>
      </c>
      <c r="E50">
        <v>472</v>
      </c>
      <c r="F50">
        <v>851</v>
      </c>
      <c r="G50">
        <v>51</v>
      </c>
      <c r="H50">
        <v>186</v>
      </c>
      <c r="I50">
        <v>12</v>
      </c>
      <c r="J50">
        <v>58</v>
      </c>
      <c r="K50">
        <v>161</v>
      </c>
      <c r="L50">
        <v>18</v>
      </c>
      <c r="M50" s="3">
        <v>45345.5</v>
      </c>
      <c r="N50" t="s">
        <v>3</v>
      </c>
      <c r="O50" s="1">
        <f t="shared" si="42"/>
        <v>45345</v>
      </c>
      <c r="P50">
        <f t="shared" si="43"/>
        <v>14</v>
      </c>
      <c r="Q50">
        <f t="shared" si="44"/>
        <v>0</v>
      </c>
    </row>
    <row r="51" spans="1:17" x14ac:dyDescent="0.3">
      <c r="A51">
        <v>392</v>
      </c>
      <c r="B51">
        <v>443</v>
      </c>
      <c r="C51">
        <v>245</v>
      </c>
      <c r="D51">
        <v>256</v>
      </c>
      <c r="E51">
        <v>564</v>
      </c>
      <c r="F51">
        <v>808</v>
      </c>
      <c r="G51">
        <v>81</v>
      </c>
      <c r="H51">
        <v>136</v>
      </c>
      <c r="I51">
        <v>12</v>
      </c>
      <c r="J51">
        <v>63</v>
      </c>
      <c r="K51">
        <v>145</v>
      </c>
      <c r="L51">
        <v>12</v>
      </c>
      <c r="M51" s="3">
        <v>45345.541666666664</v>
      </c>
      <c r="N51" t="s">
        <v>3</v>
      </c>
      <c r="O51" s="1">
        <f t="shared" si="42"/>
        <v>45345</v>
      </c>
      <c r="P51">
        <f t="shared" si="43"/>
        <v>15</v>
      </c>
      <c r="Q51">
        <f t="shared" si="44"/>
        <v>0</v>
      </c>
    </row>
    <row r="52" spans="1:17" x14ac:dyDescent="0.3">
      <c r="A52">
        <v>272</v>
      </c>
      <c r="B52">
        <v>312</v>
      </c>
      <c r="C52">
        <v>177</v>
      </c>
      <c r="D52">
        <v>158</v>
      </c>
      <c r="E52">
        <v>460</v>
      </c>
      <c r="F52">
        <v>711</v>
      </c>
      <c r="G52">
        <v>63</v>
      </c>
      <c r="H52">
        <v>114</v>
      </c>
      <c r="I52">
        <v>12</v>
      </c>
      <c r="J52">
        <v>70</v>
      </c>
      <c r="K52">
        <v>131</v>
      </c>
      <c r="L52">
        <v>13</v>
      </c>
      <c r="M52" s="3">
        <v>45345.583333333336</v>
      </c>
      <c r="N52" t="s">
        <v>3</v>
      </c>
      <c r="O52" s="1">
        <f t="shared" si="42"/>
        <v>45345</v>
      </c>
      <c r="P52">
        <f t="shared" si="43"/>
        <v>16</v>
      </c>
      <c r="Q52">
        <f t="shared" si="44"/>
        <v>0</v>
      </c>
    </row>
    <row r="53" spans="1:17" x14ac:dyDescent="0.3">
      <c r="A53">
        <v>129</v>
      </c>
      <c r="B53">
        <v>156</v>
      </c>
      <c r="C53">
        <v>82</v>
      </c>
      <c r="D53">
        <v>52</v>
      </c>
      <c r="E53">
        <v>261</v>
      </c>
      <c r="F53">
        <v>520</v>
      </c>
      <c r="G53">
        <v>1</v>
      </c>
      <c r="H53">
        <v>77</v>
      </c>
      <c r="I53">
        <v>12</v>
      </c>
      <c r="J53">
        <v>79</v>
      </c>
      <c r="K53">
        <v>118</v>
      </c>
      <c r="L53">
        <v>17</v>
      </c>
      <c r="M53" s="3">
        <v>45345.625</v>
      </c>
      <c r="N53" t="s">
        <v>3</v>
      </c>
      <c r="O53" s="1">
        <f t="shared" si="42"/>
        <v>45345</v>
      </c>
      <c r="P53">
        <f t="shared" si="43"/>
        <v>17</v>
      </c>
      <c r="Q53">
        <f t="shared" si="44"/>
        <v>0</v>
      </c>
    </row>
    <row r="54" spans="1:17" x14ac:dyDescent="0.3">
      <c r="A54">
        <v>15</v>
      </c>
      <c r="B54">
        <v>17</v>
      </c>
      <c r="C54">
        <v>9</v>
      </c>
      <c r="D54">
        <v>2</v>
      </c>
      <c r="E54">
        <v>20</v>
      </c>
      <c r="F54">
        <v>69</v>
      </c>
      <c r="G54">
        <v>0</v>
      </c>
      <c r="H54">
        <v>13</v>
      </c>
      <c r="I54">
        <v>10</v>
      </c>
      <c r="J54">
        <v>88</v>
      </c>
      <c r="K54">
        <v>107</v>
      </c>
      <c r="L54">
        <v>15</v>
      </c>
      <c r="M54" s="3">
        <v>45345.666666666664</v>
      </c>
      <c r="N54" t="s">
        <v>3</v>
      </c>
      <c r="O54" s="1">
        <f t="shared" si="42"/>
        <v>45345</v>
      </c>
      <c r="P54">
        <f t="shared" si="43"/>
        <v>18</v>
      </c>
      <c r="Q54">
        <f t="shared" si="44"/>
        <v>0</v>
      </c>
    </row>
    <row r="55" spans="1:17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9</v>
      </c>
      <c r="J55">
        <v>98</v>
      </c>
      <c r="K55">
        <v>96</v>
      </c>
      <c r="L55">
        <v>12</v>
      </c>
      <c r="M55" s="3">
        <v>45345.708333333336</v>
      </c>
      <c r="N55" t="s">
        <v>3</v>
      </c>
      <c r="O55" s="1">
        <f t="shared" si="42"/>
        <v>45345</v>
      </c>
      <c r="P55">
        <f t="shared" si="43"/>
        <v>19</v>
      </c>
      <c r="Q55">
        <f t="shared" si="44"/>
        <v>0</v>
      </c>
    </row>
    <row r="56" spans="1:17" x14ac:dyDescent="0.3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8</v>
      </c>
      <c r="J56">
        <v>109</v>
      </c>
      <c r="K56">
        <v>85</v>
      </c>
      <c r="L56">
        <v>12</v>
      </c>
      <c r="M56" s="3">
        <v>45345.75</v>
      </c>
      <c r="N56" t="s">
        <v>3</v>
      </c>
      <c r="O56" s="1">
        <f t="shared" si="42"/>
        <v>45345</v>
      </c>
      <c r="P56">
        <f t="shared" si="43"/>
        <v>20</v>
      </c>
      <c r="Q56">
        <f t="shared" si="44"/>
        <v>0</v>
      </c>
    </row>
    <row r="57" spans="1:17" x14ac:dyDescent="0.3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8</v>
      </c>
      <c r="J57">
        <v>119</v>
      </c>
      <c r="K57">
        <v>74</v>
      </c>
      <c r="L57">
        <v>10</v>
      </c>
      <c r="M57" s="3">
        <v>45345.791666666664</v>
      </c>
      <c r="N57" t="s">
        <v>3</v>
      </c>
      <c r="O57" s="1">
        <f t="shared" si="42"/>
        <v>45345</v>
      </c>
      <c r="P57">
        <f t="shared" si="43"/>
        <v>21</v>
      </c>
      <c r="Q57">
        <f t="shared" si="44"/>
        <v>0</v>
      </c>
    </row>
    <row r="58" spans="1:17" x14ac:dyDescent="0.3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7</v>
      </c>
      <c r="J58">
        <v>128</v>
      </c>
      <c r="K58">
        <v>60</v>
      </c>
      <c r="L58">
        <v>12</v>
      </c>
      <c r="M58" s="3">
        <v>45345.833333333336</v>
      </c>
      <c r="N58" t="s">
        <v>3</v>
      </c>
      <c r="O58" s="1">
        <f t="shared" si="42"/>
        <v>45345</v>
      </c>
      <c r="P58">
        <f t="shared" si="43"/>
        <v>22</v>
      </c>
      <c r="Q58">
        <f t="shared" si="44"/>
        <v>0</v>
      </c>
    </row>
    <row r="59" spans="1:17" x14ac:dyDescent="0.3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7</v>
      </c>
      <c r="J59">
        <v>137</v>
      </c>
      <c r="K59">
        <v>43</v>
      </c>
      <c r="L59">
        <v>12</v>
      </c>
      <c r="M59" s="3">
        <v>45345.875</v>
      </c>
      <c r="N59" t="s">
        <v>3</v>
      </c>
      <c r="O59" s="1">
        <f t="shared" si="42"/>
        <v>45345</v>
      </c>
      <c r="P59">
        <f t="shared" si="43"/>
        <v>23</v>
      </c>
      <c r="Q59">
        <f t="shared" si="44"/>
        <v>0</v>
      </c>
    </row>
    <row r="60" spans="1:17" x14ac:dyDescent="0.3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7</v>
      </c>
      <c r="J60">
        <v>142</v>
      </c>
      <c r="K60">
        <v>22</v>
      </c>
      <c r="L60">
        <v>10</v>
      </c>
      <c r="M60" s="3">
        <v>45345.916666666664</v>
      </c>
      <c r="N60" t="s">
        <v>3</v>
      </c>
      <c r="O60" s="1">
        <f t="shared" ref="O60:O75" si="45">IF(HOUR(M60)&gt;=22,INT(M60)+1,INT(M60))</f>
        <v>45346</v>
      </c>
      <c r="P60">
        <f t="shared" ref="P60:P75" si="46">IF(HOUR(M60)=22,0,IF(HOUR(M60)=23,1,HOUR(M60)+2))</f>
        <v>0</v>
      </c>
      <c r="Q60">
        <f t="shared" ref="Q60:Q75" si="47">MINUTE(M60)</f>
        <v>0</v>
      </c>
    </row>
    <row r="61" spans="1:17" x14ac:dyDescent="0.3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6</v>
      </c>
      <c r="J61">
        <v>144</v>
      </c>
      <c r="K61">
        <v>-2</v>
      </c>
      <c r="L61">
        <v>14</v>
      </c>
      <c r="M61" s="3">
        <v>45345.958333333336</v>
      </c>
      <c r="N61" t="s">
        <v>3</v>
      </c>
      <c r="O61" s="1">
        <f t="shared" si="45"/>
        <v>45346</v>
      </c>
      <c r="P61">
        <f t="shared" si="46"/>
        <v>1</v>
      </c>
      <c r="Q61">
        <f t="shared" si="47"/>
        <v>0</v>
      </c>
    </row>
    <row r="62" spans="1:17" x14ac:dyDescent="0.3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6</v>
      </c>
      <c r="J62">
        <v>141</v>
      </c>
      <c r="K62">
        <v>-26</v>
      </c>
      <c r="L62">
        <v>18</v>
      </c>
      <c r="M62" s="3">
        <v>45346</v>
      </c>
      <c r="N62" t="s">
        <v>3</v>
      </c>
      <c r="O62" s="1">
        <f t="shared" si="45"/>
        <v>45346</v>
      </c>
      <c r="P62">
        <f t="shared" si="46"/>
        <v>2</v>
      </c>
      <c r="Q62">
        <f t="shared" si="47"/>
        <v>0</v>
      </c>
    </row>
    <row r="63" spans="1:17" x14ac:dyDescent="0.3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6</v>
      </c>
      <c r="J63">
        <v>135</v>
      </c>
      <c r="K63">
        <v>-47</v>
      </c>
      <c r="L63">
        <v>26</v>
      </c>
      <c r="M63" s="3">
        <v>45346.041666666664</v>
      </c>
      <c r="N63" t="s">
        <v>3</v>
      </c>
      <c r="O63" s="1">
        <f t="shared" si="45"/>
        <v>45346</v>
      </c>
      <c r="P63">
        <f t="shared" si="46"/>
        <v>3</v>
      </c>
      <c r="Q63">
        <f t="shared" si="47"/>
        <v>0</v>
      </c>
    </row>
    <row r="64" spans="1:17" x14ac:dyDescent="0.3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6</v>
      </c>
      <c r="J64">
        <v>127</v>
      </c>
      <c r="K64">
        <v>-63</v>
      </c>
      <c r="L64">
        <v>34</v>
      </c>
      <c r="M64" s="3">
        <v>45346.083333333336</v>
      </c>
      <c r="N64" t="s">
        <v>3</v>
      </c>
      <c r="O64" s="1">
        <f t="shared" si="45"/>
        <v>45346</v>
      </c>
      <c r="P64">
        <f t="shared" si="46"/>
        <v>4</v>
      </c>
      <c r="Q64">
        <f t="shared" si="47"/>
        <v>0</v>
      </c>
    </row>
    <row r="65" spans="1:17" x14ac:dyDescent="0.3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6</v>
      </c>
      <c r="J65">
        <v>117</v>
      </c>
      <c r="K65">
        <v>-76</v>
      </c>
      <c r="L65">
        <v>43</v>
      </c>
      <c r="M65" s="3">
        <v>45346.125</v>
      </c>
      <c r="N65" t="s">
        <v>3</v>
      </c>
      <c r="O65" s="1">
        <f t="shared" si="45"/>
        <v>45346</v>
      </c>
      <c r="P65">
        <f t="shared" si="46"/>
        <v>5</v>
      </c>
      <c r="Q65">
        <f t="shared" si="47"/>
        <v>0</v>
      </c>
    </row>
    <row r="66" spans="1:17" x14ac:dyDescent="0.3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6</v>
      </c>
      <c r="J66">
        <v>107</v>
      </c>
      <c r="K66">
        <v>-87</v>
      </c>
      <c r="L66">
        <v>45</v>
      </c>
      <c r="M66" s="3">
        <v>45346.166666666664</v>
      </c>
      <c r="N66" t="s">
        <v>3</v>
      </c>
      <c r="O66" s="1">
        <f t="shared" si="45"/>
        <v>45346</v>
      </c>
      <c r="P66">
        <f t="shared" si="46"/>
        <v>6</v>
      </c>
      <c r="Q66">
        <f t="shared" si="47"/>
        <v>0</v>
      </c>
    </row>
    <row r="67" spans="1:17" x14ac:dyDescent="0.3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6</v>
      </c>
      <c r="J67">
        <v>96</v>
      </c>
      <c r="K67">
        <v>-98</v>
      </c>
      <c r="L67">
        <v>45</v>
      </c>
      <c r="M67" s="3">
        <v>45346.208333333336</v>
      </c>
      <c r="N67" t="s">
        <v>3</v>
      </c>
      <c r="O67" s="1">
        <f t="shared" si="45"/>
        <v>45346</v>
      </c>
      <c r="P67">
        <f t="shared" si="46"/>
        <v>7</v>
      </c>
      <c r="Q67">
        <f t="shared" si="47"/>
        <v>0</v>
      </c>
    </row>
    <row r="68" spans="1:17" x14ac:dyDescent="0.3">
      <c r="A68">
        <v>22</v>
      </c>
      <c r="B68">
        <v>34</v>
      </c>
      <c r="C68">
        <v>12</v>
      </c>
      <c r="D68">
        <v>0</v>
      </c>
      <c r="E68">
        <v>0</v>
      </c>
      <c r="F68">
        <v>83</v>
      </c>
      <c r="G68">
        <v>0</v>
      </c>
      <c r="H68">
        <v>22</v>
      </c>
      <c r="I68">
        <v>6</v>
      </c>
      <c r="J68">
        <v>86</v>
      </c>
      <c r="K68">
        <v>-109</v>
      </c>
      <c r="L68">
        <v>46</v>
      </c>
      <c r="M68" s="3">
        <v>45346.25</v>
      </c>
      <c r="N68" t="s">
        <v>3</v>
      </c>
      <c r="O68" s="1">
        <f t="shared" si="45"/>
        <v>45346</v>
      </c>
      <c r="P68">
        <f t="shared" si="46"/>
        <v>8</v>
      </c>
      <c r="Q68">
        <f t="shared" si="47"/>
        <v>0</v>
      </c>
    </row>
    <row r="69" spans="1:17" x14ac:dyDescent="0.3">
      <c r="A69">
        <v>91</v>
      </c>
      <c r="B69">
        <v>135</v>
      </c>
      <c r="C69">
        <v>52</v>
      </c>
      <c r="D69">
        <v>0</v>
      </c>
      <c r="E69">
        <v>0</v>
      </c>
      <c r="F69">
        <v>159</v>
      </c>
      <c r="G69">
        <v>0</v>
      </c>
      <c r="H69">
        <v>91</v>
      </c>
      <c r="I69">
        <v>7</v>
      </c>
      <c r="J69">
        <v>77</v>
      </c>
      <c r="K69">
        <v>-120</v>
      </c>
      <c r="L69">
        <v>51</v>
      </c>
      <c r="M69" s="3">
        <v>45346.291666666664</v>
      </c>
      <c r="N69" t="s">
        <v>3</v>
      </c>
      <c r="O69" s="1">
        <f t="shared" si="45"/>
        <v>45346</v>
      </c>
      <c r="P69">
        <f t="shared" si="46"/>
        <v>9</v>
      </c>
      <c r="Q69">
        <f t="shared" si="47"/>
        <v>0</v>
      </c>
    </row>
    <row r="70" spans="1:17" x14ac:dyDescent="0.3">
      <c r="A70">
        <v>153</v>
      </c>
      <c r="B70">
        <v>247</v>
      </c>
      <c r="C70">
        <v>76</v>
      </c>
      <c r="D70">
        <v>0</v>
      </c>
      <c r="E70">
        <v>0</v>
      </c>
      <c r="F70">
        <v>232</v>
      </c>
      <c r="G70">
        <v>0</v>
      </c>
      <c r="H70">
        <v>153</v>
      </c>
      <c r="I70">
        <v>9</v>
      </c>
      <c r="J70">
        <v>68</v>
      </c>
      <c r="K70">
        <v>-133</v>
      </c>
      <c r="L70">
        <v>54</v>
      </c>
      <c r="M70" s="3">
        <v>45346.333333333336</v>
      </c>
      <c r="N70" t="s">
        <v>3</v>
      </c>
      <c r="O70" s="1">
        <f t="shared" si="45"/>
        <v>45346</v>
      </c>
      <c r="P70">
        <f t="shared" si="46"/>
        <v>10</v>
      </c>
      <c r="Q70">
        <f t="shared" si="47"/>
        <v>0</v>
      </c>
    </row>
    <row r="71" spans="1:17" x14ac:dyDescent="0.3">
      <c r="A71">
        <v>205</v>
      </c>
      <c r="B71">
        <v>349</v>
      </c>
      <c r="C71">
        <v>95</v>
      </c>
      <c r="D71">
        <v>0</v>
      </c>
      <c r="E71">
        <v>0</v>
      </c>
      <c r="F71">
        <v>314</v>
      </c>
      <c r="G71">
        <v>0</v>
      </c>
      <c r="H71">
        <v>205</v>
      </c>
      <c r="I71">
        <v>11</v>
      </c>
      <c r="J71">
        <v>62</v>
      </c>
      <c r="K71">
        <v>-148</v>
      </c>
      <c r="L71">
        <v>54</v>
      </c>
      <c r="M71" s="3">
        <v>45346.375</v>
      </c>
      <c r="N71" t="s">
        <v>3</v>
      </c>
      <c r="O71" s="1">
        <f t="shared" si="45"/>
        <v>45346</v>
      </c>
      <c r="P71">
        <f t="shared" si="46"/>
        <v>11</v>
      </c>
      <c r="Q71">
        <f t="shared" si="47"/>
        <v>0</v>
      </c>
    </row>
    <row r="72" spans="1:17" x14ac:dyDescent="0.3">
      <c r="A72">
        <v>224</v>
      </c>
      <c r="B72">
        <v>391</v>
      </c>
      <c r="C72">
        <v>97</v>
      </c>
      <c r="D72">
        <v>0</v>
      </c>
      <c r="E72">
        <v>0</v>
      </c>
      <c r="F72">
        <v>299</v>
      </c>
      <c r="G72">
        <v>0</v>
      </c>
      <c r="H72">
        <v>224</v>
      </c>
      <c r="I72">
        <v>12</v>
      </c>
      <c r="J72">
        <v>57</v>
      </c>
      <c r="K72">
        <v>-164</v>
      </c>
      <c r="L72">
        <v>58</v>
      </c>
      <c r="M72" s="3">
        <v>45346.416666666664</v>
      </c>
      <c r="N72" t="s">
        <v>3</v>
      </c>
      <c r="O72" s="1">
        <f t="shared" si="45"/>
        <v>45346</v>
      </c>
      <c r="P72">
        <f t="shared" si="46"/>
        <v>12</v>
      </c>
      <c r="Q72">
        <f t="shared" si="47"/>
        <v>0</v>
      </c>
    </row>
    <row r="73" spans="1:17" x14ac:dyDescent="0.3">
      <c r="A73">
        <v>216</v>
      </c>
      <c r="B73">
        <v>397</v>
      </c>
      <c r="C73">
        <v>84</v>
      </c>
      <c r="D73">
        <v>0</v>
      </c>
      <c r="E73">
        <v>0</v>
      </c>
      <c r="F73">
        <v>287</v>
      </c>
      <c r="G73">
        <v>0</v>
      </c>
      <c r="H73">
        <v>216</v>
      </c>
      <c r="I73">
        <v>13</v>
      </c>
      <c r="J73">
        <v>56</v>
      </c>
      <c r="K73">
        <v>178</v>
      </c>
      <c r="L73">
        <v>61</v>
      </c>
      <c r="M73" s="3">
        <v>45346.458333333336</v>
      </c>
      <c r="N73" t="s">
        <v>3</v>
      </c>
      <c r="O73" s="1">
        <f t="shared" si="45"/>
        <v>45346</v>
      </c>
      <c r="P73">
        <f t="shared" si="46"/>
        <v>13</v>
      </c>
      <c r="Q73">
        <f t="shared" si="47"/>
        <v>0</v>
      </c>
    </row>
    <row r="74" spans="1:17" x14ac:dyDescent="0.3">
      <c r="A74">
        <v>193</v>
      </c>
      <c r="B74">
        <v>364</v>
      </c>
      <c r="C74">
        <v>68</v>
      </c>
      <c r="D74">
        <v>0</v>
      </c>
      <c r="E74">
        <v>0</v>
      </c>
      <c r="F74">
        <v>263</v>
      </c>
      <c r="G74">
        <v>0</v>
      </c>
      <c r="H74">
        <v>193</v>
      </c>
      <c r="I74">
        <v>13</v>
      </c>
      <c r="J74">
        <v>58</v>
      </c>
      <c r="K74">
        <v>161</v>
      </c>
      <c r="L74">
        <v>64</v>
      </c>
      <c r="M74" s="3">
        <v>45346.5</v>
      </c>
      <c r="N74" t="s">
        <v>3</v>
      </c>
      <c r="O74" s="1">
        <f t="shared" si="45"/>
        <v>45346</v>
      </c>
      <c r="P74">
        <f t="shared" si="46"/>
        <v>14</v>
      </c>
      <c r="Q74">
        <f t="shared" si="47"/>
        <v>0</v>
      </c>
    </row>
    <row r="75" spans="1:17" x14ac:dyDescent="0.3">
      <c r="A75">
        <v>167</v>
      </c>
      <c r="B75">
        <v>313</v>
      </c>
      <c r="C75">
        <v>59</v>
      </c>
      <c r="D75">
        <v>0</v>
      </c>
      <c r="E75">
        <v>0</v>
      </c>
      <c r="F75">
        <v>270</v>
      </c>
      <c r="G75">
        <v>0</v>
      </c>
      <c r="H75">
        <v>167</v>
      </c>
      <c r="I75">
        <v>14</v>
      </c>
      <c r="J75">
        <v>63</v>
      </c>
      <c r="K75">
        <v>145</v>
      </c>
      <c r="L75">
        <v>63</v>
      </c>
      <c r="M75" s="3">
        <v>45346.541666666664</v>
      </c>
      <c r="N75" t="s">
        <v>3</v>
      </c>
      <c r="O75" s="1">
        <f t="shared" si="45"/>
        <v>45346</v>
      </c>
      <c r="P75">
        <f t="shared" si="46"/>
        <v>15</v>
      </c>
      <c r="Q75">
        <f t="shared" si="47"/>
        <v>0</v>
      </c>
    </row>
    <row r="76" spans="1:17" x14ac:dyDescent="0.3">
      <c r="A76">
        <v>134</v>
      </c>
      <c r="B76">
        <v>228</v>
      </c>
      <c r="C76">
        <v>58</v>
      </c>
      <c r="D76">
        <v>0</v>
      </c>
      <c r="E76">
        <v>0</v>
      </c>
      <c r="F76">
        <v>258</v>
      </c>
      <c r="G76">
        <v>0</v>
      </c>
      <c r="H76">
        <v>134</v>
      </c>
      <c r="I76">
        <v>14</v>
      </c>
      <c r="J76">
        <v>70</v>
      </c>
      <c r="K76">
        <v>130</v>
      </c>
      <c r="L76">
        <v>58</v>
      </c>
      <c r="M76" s="3">
        <v>45346.583333333336</v>
      </c>
      <c r="N76" t="s">
        <v>3</v>
      </c>
      <c r="O76" s="1">
        <f t="shared" ref="O76:O85" si="48">IF(HOUR(M76)&gt;=22,INT(M76)+1,INT(M76))</f>
        <v>45346</v>
      </c>
      <c r="P76">
        <f t="shared" ref="P76:P85" si="49">IF(HOUR(M76)=22,0,IF(HOUR(M76)=23,1,HOUR(M76)+2))</f>
        <v>16</v>
      </c>
      <c r="Q76">
        <f t="shared" ref="Q76:Q85" si="50">MINUTE(M76)</f>
        <v>0</v>
      </c>
    </row>
    <row r="77" spans="1:17" x14ac:dyDescent="0.3">
      <c r="A77">
        <v>69</v>
      </c>
      <c r="B77">
        <v>116</v>
      </c>
      <c r="C77">
        <v>32</v>
      </c>
      <c r="D77">
        <v>0</v>
      </c>
      <c r="E77">
        <v>0</v>
      </c>
      <c r="F77">
        <v>167</v>
      </c>
      <c r="G77">
        <v>0</v>
      </c>
      <c r="H77">
        <v>69</v>
      </c>
      <c r="I77">
        <v>13</v>
      </c>
      <c r="J77">
        <v>78</v>
      </c>
      <c r="K77">
        <v>118</v>
      </c>
      <c r="L77">
        <v>59</v>
      </c>
      <c r="M77" s="3">
        <v>45346.625</v>
      </c>
      <c r="N77" t="s">
        <v>3</v>
      </c>
      <c r="O77" s="1">
        <f t="shared" si="48"/>
        <v>45346</v>
      </c>
      <c r="P77">
        <f t="shared" si="49"/>
        <v>17</v>
      </c>
      <c r="Q77">
        <f t="shared" si="50"/>
        <v>0</v>
      </c>
    </row>
    <row r="78" spans="1:17" x14ac:dyDescent="0.3">
      <c r="A78">
        <v>8</v>
      </c>
      <c r="B78">
        <v>14</v>
      </c>
      <c r="C78">
        <v>3</v>
      </c>
      <c r="D78">
        <v>0</v>
      </c>
      <c r="E78">
        <v>0</v>
      </c>
      <c r="F78">
        <v>6</v>
      </c>
      <c r="G78">
        <v>0</v>
      </c>
      <c r="H78">
        <v>8</v>
      </c>
      <c r="I78">
        <v>12</v>
      </c>
      <c r="J78">
        <v>88</v>
      </c>
      <c r="K78">
        <v>107</v>
      </c>
      <c r="L78">
        <v>64</v>
      </c>
      <c r="M78" s="3">
        <v>45346.666666666664</v>
      </c>
      <c r="N78" t="s">
        <v>3</v>
      </c>
      <c r="O78" s="1">
        <f t="shared" si="48"/>
        <v>45346</v>
      </c>
      <c r="P78">
        <f t="shared" si="49"/>
        <v>18</v>
      </c>
      <c r="Q78">
        <f t="shared" si="50"/>
        <v>0</v>
      </c>
    </row>
    <row r="79" spans="1:17" x14ac:dyDescent="0.3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11</v>
      </c>
      <c r="J79">
        <v>98</v>
      </c>
      <c r="K79">
        <v>96</v>
      </c>
      <c r="L79">
        <v>64</v>
      </c>
      <c r="M79" s="3">
        <v>45346.708333333336</v>
      </c>
      <c r="N79" t="s">
        <v>3</v>
      </c>
      <c r="O79" s="1">
        <f t="shared" si="48"/>
        <v>45346</v>
      </c>
      <c r="P79">
        <f t="shared" si="49"/>
        <v>19</v>
      </c>
      <c r="Q79">
        <f t="shared" si="50"/>
        <v>0</v>
      </c>
    </row>
    <row r="80" spans="1:17" x14ac:dyDescent="0.3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10</v>
      </c>
      <c r="J80">
        <v>108</v>
      </c>
      <c r="K80">
        <v>85</v>
      </c>
      <c r="L80">
        <v>64</v>
      </c>
      <c r="M80" s="3">
        <v>45346.75</v>
      </c>
      <c r="N80" t="s">
        <v>3</v>
      </c>
      <c r="O80" s="1">
        <f t="shared" si="48"/>
        <v>45346</v>
      </c>
      <c r="P80">
        <f t="shared" si="49"/>
        <v>20</v>
      </c>
      <c r="Q80">
        <f t="shared" si="50"/>
        <v>0</v>
      </c>
    </row>
    <row r="81" spans="1:17" x14ac:dyDescent="0.3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10</v>
      </c>
      <c r="J81">
        <v>119</v>
      </c>
      <c r="K81">
        <v>73</v>
      </c>
      <c r="L81">
        <v>64</v>
      </c>
      <c r="M81" s="3">
        <v>45346.791666666664</v>
      </c>
      <c r="N81" t="s">
        <v>3</v>
      </c>
      <c r="O81" s="1">
        <f t="shared" si="48"/>
        <v>45346</v>
      </c>
      <c r="P81">
        <f t="shared" si="49"/>
        <v>21</v>
      </c>
      <c r="Q81">
        <f t="shared" si="50"/>
        <v>0</v>
      </c>
    </row>
    <row r="82" spans="1:17" x14ac:dyDescent="0.3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9</v>
      </c>
      <c r="J82">
        <v>128</v>
      </c>
      <c r="K82">
        <v>60</v>
      </c>
      <c r="L82">
        <v>63</v>
      </c>
      <c r="M82" s="3">
        <v>45346.833333333336</v>
      </c>
      <c r="N82" t="s">
        <v>3</v>
      </c>
      <c r="O82" s="1">
        <f t="shared" si="48"/>
        <v>45346</v>
      </c>
      <c r="P82">
        <f t="shared" si="49"/>
        <v>22</v>
      </c>
      <c r="Q82">
        <f t="shared" si="50"/>
        <v>0</v>
      </c>
    </row>
    <row r="83" spans="1:17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9</v>
      </c>
      <c r="J83">
        <v>136</v>
      </c>
      <c r="K83">
        <v>43</v>
      </c>
      <c r="L83">
        <v>63</v>
      </c>
      <c r="M83" s="3">
        <v>45346.875</v>
      </c>
      <c r="N83" t="s">
        <v>3</v>
      </c>
      <c r="O83" s="1">
        <f t="shared" si="48"/>
        <v>45346</v>
      </c>
      <c r="P83">
        <f t="shared" si="49"/>
        <v>23</v>
      </c>
      <c r="Q83">
        <f t="shared" si="50"/>
        <v>0</v>
      </c>
    </row>
    <row r="84" spans="1:17" x14ac:dyDescent="0.3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8</v>
      </c>
      <c r="J84">
        <v>142</v>
      </c>
      <c r="K84">
        <v>22</v>
      </c>
      <c r="L84">
        <v>63</v>
      </c>
      <c r="M84" s="3">
        <v>45346.916666666664</v>
      </c>
      <c r="N84" t="s">
        <v>3</v>
      </c>
      <c r="O84" s="1">
        <f t="shared" si="48"/>
        <v>45347</v>
      </c>
      <c r="P84">
        <f t="shared" si="49"/>
        <v>0</v>
      </c>
      <c r="Q84">
        <f t="shared" si="50"/>
        <v>0</v>
      </c>
    </row>
    <row r="85" spans="1:17" x14ac:dyDescent="0.3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8</v>
      </c>
      <c r="J85">
        <v>144</v>
      </c>
      <c r="K85">
        <v>-2</v>
      </c>
      <c r="L85">
        <v>65</v>
      </c>
      <c r="M85" s="3">
        <v>45346.958333333336</v>
      </c>
      <c r="N85" t="s">
        <v>3</v>
      </c>
      <c r="O85" s="1">
        <f t="shared" si="48"/>
        <v>45347</v>
      </c>
      <c r="P85">
        <f t="shared" si="49"/>
        <v>1</v>
      </c>
      <c r="Q85">
        <f t="shared" si="50"/>
        <v>0</v>
      </c>
    </row>
    <row r="86" spans="1:17" x14ac:dyDescent="0.3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8</v>
      </c>
      <c r="J86">
        <v>141</v>
      </c>
      <c r="K86">
        <v>-26</v>
      </c>
      <c r="L86">
        <v>69</v>
      </c>
      <c r="M86">
        <v>45347</v>
      </c>
      <c r="N86" t="s">
        <v>3</v>
      </c>
      <c r="O86" s="1">
        <f t="shared" ref="O86:O117" si="51">IF(HOUR(M86)&gt;=22,INT(M86)+1,INT(M86))</f>
        <v>45347</v>
      </c>
      <c r="P86">
        <f t="shared" ref="P86:P117" si="52">IF(HOUR(M86)=22,0,IF(HOUR(M86)=23,1,HOUR(M86)+2))</f>
        <v>2</v>
      </c>
      <c r="Q86">
        <f t="shared" ref="Q86:Q117" si="53">MINUTE(M86)</f>
        <v>0</v>
      </c>
    </row>
    <row r="87" spans="1:17" x14ac:dyDescent="0.3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8</v>
      </c>
      <c r="J87">
        <v>135</v>
      </c>
      <c r="K87">
        <v>-46</v>
      </c>
      <c r="L87">
        <v>67</v>
      </c>
      <c r="M87" s="3">
        <v>45347.041666666664</v>
      </c>
      <c r="N87" t="s">
        <v>3</v>
      </c>
      <c r="O87" s="1">
        <f t="shared" si="51"/>
        <v>45347</v>
      </c>
      <c r="P87">
        <f t="shared" si="52"/>
        <v>3</v>
      </c>
      <c r="Q87">
        <f t="shared" si="53"/>
        <v>0</v>
      </c>
    </row>
    <row r="88" spans="1:17" x14ac:dyDescent="0.3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8</v>
      </c>
      <c r="J88">
        <v>126</v>
      </c>
      <c r="K88">
        <v>-62</v>
      </c>
      <c r="L88">
        <v>64</v>
      </c>
      <c r="M88" s="3">
        <v>45347.083333333336</v>
      </c>
      <c r="N88" t="s">
        <v>3</v>
      </c>
      <c r="O88" s="1">
        <f t="shared" si="51"/>
        <v>45347</v>
      </c>
      <c r="P88">
        <f t="shared" si="52"/>
        <v>4</v>
      </c>
      <c r="Q88">
        <f t="shared" si="53"/>
        <v>0</v>
      </c>
    </row>
    <row r="89" spans="1:17" x14ac:dyDescent="0.3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8</v>
      </c>
      <c r="J89">
        <v>117</v>
      </c>
      <c r="K89">
        <v>-76</v>
      </c>
      <c r="L89">
        <v>60</v>
      </c>
      <c r="M89" s="3">
        <v>45347.125</v>
      </c>
      <c r="N89" t="s">
        <v>3</v>
      </c>
      <c r="O89" s="1">
        <f t="shared" si="51"/>
        <v>45347</v>
      </c>
      <c r="P89">
        <f t="shared" si="52"/>
        <v>5</v>
      </c>
      <c r="Q89">
        <f t="shared" si="53"/>
        <v>0</v>
      </c>
    </row>
    <row r="90" spans="1:17" x14ac:dyDescent="0.3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8</v>
      </c>
      <c r="J90">
        <v>106</v>
      </c>
      <c r="K90">
        <v>-87</v>
      </c>
      <c r="L90">
        <v>56</v>
      </c>
      <c r="M90" s="3">
        <v>45347.166666666664</v>
      </c>
      <c r="N90" t="s">
        <v>3</v>
      </c>
      <c r="O90" s="1">
        <f t="shared" si="51"/>
        <v>45347</v>
      </c>
      <c r="P90">
        <f t="shared" si="52"/>
        <v>6</v>
      </c>
      <c r="Q90">
        <f t="shared" si="53"/>
        <v>0</v>
      </c>
    </row>
    <row r="91" spans="1:17" x14ac:dyDescent="0.3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8</v>
      </c>
      <c r="J91">
        <v>96</v>
      </c>
      <c r="K91">
        <v>-98</v>
      </c>
      <c r="L91">
        <v>54</v>
      </c>
      <c r="M91" s="3">
        <v>45347.208333333336</v>
      </c>
      <c r="N91" t="s">
        <v>3</v>
      </c>
      <c r="O91" s="1">
        <f t="shared" si="51"/>
        <v>45347</v>
      </c>
      <c r="P91">
        <f t="shared" si="52"/>
        <v>7</v>
      </c>
      <c r="Q91">
        <f t="shared" si="53"/>
        <v>0</v>
      </c>
    </row>
    <row r="92" spans="1:17" x14ac:dyDescent="0.3">
      <c r="A92">
        <v>20</v>
      </c>
      <c r="B92">
        <v>37</v>
      </c>
      <c r="C92">
        <v>9</v>
      </c>
      <c r="D92">
        <v>0</v>
      </c>
      <c r="E92">
        <v>0</v>
      </c>
      <c r="F92">
        <v>98</v>
      </c>
      <c r="G92">
        <v>0</v>
      </c>
      <c r="H92">
        <v>20</v>
      </c>
      <c r="I92">
        <v>8</v>
      </c>
      <c r="J92">
        <v>86</v>
      </c>
      <c r="K92">
        <v>-109</v>
      </c>
      <c r="L92">
        <v>56</v>
      </c>
      <c r="M92" s="3">
        <v>45347.25</v>
      </c>
      <c r="N92" t="s">
        <v>3</v>
      </c>
      <c r="O92" s="1">
        <f t="shared" si="51"/>
        <v>45347</v>
      </c>
      <c r="P92">
        <f t="shared" si="52"/>
        <v>8</v>
      </c>
      <c r="Q92">
        <f t="shared" si="53"/>
        <v>0</v>
      </c>
    </row>
    <row r="93" spans="1:17" x14ac:dyDescent="0.3">
      <c r="A93">
        <v>101</v>
      </c>
      <c r="B93">
        <v>162</v>
      </c>
      <c r="C93">
        <v>51</v>
      </c>
      <c r="D93">
        <v>3</v>
      </c>
      <c r="E93">
        <v>13</v>
      </c>
      <c r="F93">
        <v>336</v>
      </c>
      <c r="G93">
        <v>0</v>
      </c>
      <c r="H93">
        <v>98</v>
      </c>
      <c r="I93">
        <v>8</v>
      </c>
      <c r="J93">
        <v>76</v>
      </c>
      <c r="K93">
        <v>-120</v>
      </c>
      <c r="L93">
        <v>49</v>
      </c>
      <c r="M93" s="3">
        <v>45347.291666666664</v>
      </c>
      <c r="N93" t="s">
        <v>3</v>
      </c>
      <c r="O93" s="1">
        <f t="shared" si="51"/>
        <v>45347</v>
      </c>
      <c r="P93">
        <f t="shared" si="52"/>
        <v>9</v>
      </c>
      <c r="Q93">
        <f t="shared" si="53"/>
        <v>0</v>
      </c>
    </row>
    <row r="94" spans="1:17" x14ac:dyDescent="0.3">
      <c r="A94">
        <v>198</v>
      </c>
      <c r="B94">
        <v>337</v>
      </c>
      <c r="C94">
        <v>91</v>
      </c>
      <c r="D94">
        <v>34</v>
      </c>
      <c r="E94">
        <v>90</v>
      </c>
      <c r="F94">
        <v>689</v>
      </c>
      <c r="G94">
        <v>0</v>
      </c>
      <c r="H94">
        <v>164</v>
      </c>
      <c r="I94">
        <v>9</v>
      </c>
      <c r="J94">
        <v>68</v>
      </c>
      <c r="K94">
        <v>-133</v>
      </c>
      <c r="L94">
        <v>44</v>
      </c>
      <c r="M94" s="3">
        <v>45347.333333333336</v>
      </c>
      <c r="N94" t="s">
        <v>3</v>
      </c>
      <c r="O94" s="1">
        <f t="shared" si="51"/>
        <v>45347</v>
      </c>
      <c r="P94">
        <f t="shared" si="52"/>
        <v>10</v>
      </c>
      <c r="Q94">
        <f t="shared" si="53"/>
        <v>0</v>
      </c>
    </row>
    <row r="95" spans="1:17" x14ac:dyDescent="0.3">
      <c r="A95">
        <v>292</v>
      </c>
      <c r="B95">
        <v>475</v>
      </c>
      <c r="C95">
        <v>127</v>
      </c>
      <c r="D95">
        <v>82</v>
      </c>
      <c r="E95">
        <v>170</v>
      </c>
      <c r="F95">
        <v>856</v>
      </c>
      <c r="G95">
        <v>0</v>
      </c>
      <c r="H95">
        <v>210</v>
      </c>
      <c r="I95">
        <v>10</v>
      </c>
      <c r="J95">
        <v>61</v>
      </c>
      <c r="K95">
        <v>-147</v>
      </c>
      <c r="L95">
        <v>39</v>
      </c>
      <c r="M95" s="3">
        <v>45347.375</v>
      </c>
      <c r="N95" t="s">
        <v>3</v>
      </c>
      <c r="O95" s="1">
        <f t="shared" si="51"/>
        <v>45347</v>
      </c>
      <c r="P95">
        <f t="shared" si="52"/>
        <v>11</v>
      </c>
      <c r="Q95">
        <f t="shared" si="53"/>
        <v>0</v>
      </c>
    </row>
    <row r="96" spans="1:17" x14ac:dyDescent="0.3">
      <c r="A96">
        <v>346</v>
      </c>
      <c r="B96">
        <v>552</v>
      </c>
      <c r="C96">
        <v>150</v>
      </c>
      <c r="D96">
        <v>107</v>
      </c>
      <c r="E96">
        <v>197</v>
      </c>
      <c r="F96">
        <v>889</v>
      </c>
      <c r="G96">
        <v>0</v>
      </c>
      <c r="H96">
        <v>238</v>
      </c>
      <c r="I96">
        <v>12</v>
      </c>
      <c r="J96">
        <v>57</v>
      </c>
      <c r="K96">
        <v>-164</v>
      </c>
      <c r="L96">
        <v>37</v>
      </c>
      <c r="M96" s="3">
        <v>45347.416666666664</v>
      </c>
      <c r="N96" t="s">
        <v>3</v>
      </c>
      <c r="O96" s="1">
        <f t="shared" si="51"/>
        <v>45347</v>
      </c>
      <c r="P96">
        <f t="shared" si="52"/>
        <v>12</v>
      </c>
      <c r="Q96">
        <f t="shared" si="53"/>
        <v>0</v>
      </c>
    </row>
    <row r="97" spans="1:17" x14ac:dyDescent="0.3">
      <c r="A97">
        <v>377</v>
      </c>
      <c r="B97">
        <v>574</v>
      </c>
      <c r="C97">
        <v>164</v>
      </c>
      <c r="D97">
        <v>132</v>
      </c>
      <c r="E97">
        <v>234</v>
      </c>
      <c r="F97">
        <v>887</v>
      </c>
      <c r="G97">
        <v>0</v>
      </c>
      <c r="H97">
        <v>245</v>
      </c>
      <c r="I97">
        <v>13</v>
      </c>
      <c r="J97">
        <v>56</v>
      </c>
      <c r="K97">
        <v>178</v>
      </c>
      <c r="L97">
        <v>34</v>
      </c>
      <c r="M97" s="3">
        <v>45347.458333333336</v>
      </c>
      <c r="N97" t="s">
        <v>3</v>
      </c>
      <c r="O97" s="1">
        <f t="shared" si="51"/>
        <v>45347</v>
      </c>
      <c r="P97">
        <f t="shared" si="52"/>
        <v>13</v>
      </c>
      <c r="Q97">
        <f t="shared" si="53"/>
        <v>0</v>
      </c>
    </row>
    <row r="98" spans="1:17" x14ac:dyDescent="0.3">
      <c r="A98">
        <v>356</v>
      </c>
      <c r="B98">
        <v>542</v>
      </c>
      <c r="C98">
        <v>150</v>
      </c>
      <c r="D98">
        <v>122</v>
      </c>
      <c r="E98">
        <v>228</v>
      </c>
      <c r="F98">
        <v>873</v>
      </c>
      <c r="G98">
        <v>0</v>
      </c>
      <c r="H98">
        <v>234</v>
      </c>
      <c r="I98">
        <v>14</v>
      </c>
      <c r="J98">
        <v>58</v>
      </c>
      <c r="K98">
        <v>161</v>
      </c>
      <c r="L98">
        <v>34</v>
      </c>
      <c r="M98" s="3">
        <v>45347.5</v>
      </c>
      <c r="N98" t="s">
        <v>3</v>
      </c>
      <c r="O98" s="1">
        <f t="shared" si="51"/>
        <v>45347</v>
      </c>
      <c r="P98">
        <f t="shared" si="52"/>
        <v>14</v>
      </c>
      <c r="Q98">
        <f t="shared" si="53"/>
        <v>0</v>
      </c>
    </row>
    <row r="99" spans="1:17" x14ac:dyDescent="0.3">
      <c r="A99">
        <v>304</v>
      </c>
      <c r="B99">
        <v>459</v>
      </c>
      <c r="C99">
        <v>122</v>
      </c>
      <c r="D99">
        <v>104</v>
      </c>
      <c r="E99">
        <v>224</v>
      </c>
      <c r="F99">
        <v>841</v>
      </c>
      <c r="G99">
        <v>0</v>
      </c>
      <c r="H99">
        <v>200</v>
      </c>
      <c r="I99">
        <v>14</v>
      </c>
      <c r="J99">
        <v>62</v>
      </c>
      <c r="K99">
        <v>145</v>
      </c>
      <c r="L99">
        <v>34</v>
      </c>
      <c r="M99" s="3">
        <v>45347.541666666664</v>
      </c>
      <c r="N99" t="s">
        <v>3</v>
      </c>
      <c r="O99" s="1">
        <f t="shared" si="51"/>
        <v>45347</v>
      </c>
      <c r="P99">
        <f t="shared" si="52"/>
        <v>15</v>
      </c>
      <c r="Q99">
        <f t="shared" si="53"/>
        <v>0</v>
      </c>
    </row>
    <row r="100" spans="1:17" x14ac:dyDescent="0.3">
      <c r="A100">
        <v>211</v>
      </c>
      <c r="B100">
        <v>329</v>
      </c>
      <c r="C100">
        <v>88</v>
      </c>
      <c r="D100">
        <v>57</v>
      </c>
      <c r="E100">
        <v>161</v>
      </c>
      <c r="F100">
        <v>756</v>
      </c>
      <c r="G100">
        <v>0</v>
      </c>
      <c r="H100">
        <v>154</v>
      </c>
      <c r="I100">
        <v>14</v>
      </c>
      <c r="J100">
        <v>69</v>
      </c>
      <c r="K100">
        <v>130</v>
      </c>
      <c r="L100">
        <v>36</v>
      </c>
      <c r="M100" s="3">
        <v>45347.583333333336</v>
      </c>
      <c r="N100" t="s">
        <v>3</v>
      </c>
      <c r="O100" s="1">
        <f t="shared" si="51"/>
        <v>45347</v>
      </c>
      <c r="P100">
        <f t="shared" si="52"/>
        <v>16</v>
      </c>
      <c r="Q100">
        <f t="shared" si="53"/>
        <v>0</v>
      </c>
    </row>
    <row r="101" spans="1:17" x14ac:dyDescent="0.3">
      <c r="A101">
        <v>102</v>
      </c>
      <c r="B101">
        <v>171</v>
      </c>
      <c r="C101">
        <v>43</v>
      </c>
      <c r="D101">
        <v>12</v>
      </c>
      <c r="E101">
        <v>54</v>
      </c>
      <c r="F101">
        <v>595</v>
      </c>
      <c r="G101">
        <v>0</v>
      </c>
      <c r="H101">
        <v>91</v>
      </c>
      <c r="I101">
        <v>14</v>
      </c>
      <c r="J101">
        <v>78</v>
      </c>
      <c r="K101">
        <v>118</v>
      </c>
      <c r="L101">
        <v>40</v>
      </c>
      <c r="M101" s="3">
        <v>45347.625</v>
      </c>
      <c r="N101" t="s">
        <v>3</v>
      </c>
      <c r="O101" s="1">
        <f t="shared" si="51"/>
        <v>45347</v>
      </c>
      <c r="P101">
        <f t="shared" si="52"/>
        <v>17</v>
      </c>
      <c r="Q101">
        <f t="shared" si="53"/>
        <v>0</v>
      </c>
    </row>
    <row r="102" spans="1:17" x14ac:dyDescent="0.3">
      <c r="A102">
        <v>13</v>
      </c>
      <c r="B102">
        <v>24</v>
      </c>
      <c r="C102">
        <v>4</v>
      </c>
      <c r="D102">
        <v>0</v>
      </c>
      <c r="E102">
        <v>0</v>
      </c>
      <c r="F102">
        <v>115</v>
      </c>
      <c r="G102">
        <v>0</v>
      </c>
      <c r="H102">
        <v>13</v>
      </c>
      <c r="I102">
        <v>12</v>
      </c>
      <c r="J102">
        <v>88</v>
      </c>
      <c r="K102">
        <v>106</v>
      </c>
      <c r="L102">
        <v>45</v>
      </c>
      <c r="M102" s="3">
        <v>45347.666666666664</v>
      </c>
      <c r="N102" t="s">
        <v>3</v>
      </c>
      <c r="O102" s="1">
        <f t="shared" si="51"/>
        <v>45347</v>
      </c>
      <c r="P102">
        <f t="shared" si="52"/>
        <v>18</v>
      </c>
      <c r="Q102">
        <f t="shared" si="53"/>
        <v>0</v>
      </c>
    </row>
    <row r="103" spans="1:17" x14ac:dyDescent="0.3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10</v>
      </c>
      <c r="J103">
        <v>98</v>
      </c>
      <c r="K103">
        <v>96</v>
      </c>
      <c r="L103">
        <v>48</v>
      </c>
      <c r="M103" s="3">
        <v>45347.708333333336</v>
      </c>
      <c r="N103" t="s">
        <v>3</v>
      </c>
      <c r="O103" s="1">
        <f t="shared" si="51"/>
        <v>45347</v>
      </c>
      <c r="P103">
        <f t="shared" si="52"/>
        <v>19</v>
      </c>
      <c r="Q103">
        <f t="shared" si="53"/>
        <v>0</v>
      </c>
    </row>
    <row r="104" spans="1:17" x14ac:dyDescent="0.3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10</v>
      </c>
      <c r="J104">
        <v>108</v>
      </c>
      <c r="K104">
        <v>85</v>
      </c>
      <c r="L104">
        <v>51</v>
      </c>
      <c r="M104" s="3">
        <v>45347.75</v>
      </c>
      <c r="N104" t="s">
        <v>3</v>
      </c>
      <c r="O104" s="1">
        <f t="shared" si="51"/>
        <v>45347</v>
      </c>
      <c r="P104">
        <f t="shared" si="52"/>
        <v>20</v>
      </c>
      <c r="Q104">
        <f t="shared" si="53"/>
        <v>0</v>
      </c>
    </row>
    <row r="105" spans="1:17" x14ac:dyDescent="0.3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9</v>
      </c>
      <c r="J105">
        <v>118</v>
      </c>
      <c r="K105">
        <v>73</v>
      </c>
      <c r="L105">
        <v>54</v>
      </c>
      <c r="M105" s="3">
        <v>45347.791666666664</v>
      </c>
      <c r="N105" t="s">
        <v>3</v>
      </c>
      <c r="O105" s="1">
        <f t="shared" si="51"/>
        <v>45347</v>
      </c>
      <c r="P105">
        <f t="shared" si="52"/>
        <v>21</v>
      </c>
      <c r="Q105">
        <f t="shared" si="53"/>
        <v>0</v>
      </c>
    </row>
    <row r="106" spans="1:17" x14ac:dyDescent="0.3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9</v>
      </c>
      <c r="J106">
        <v>128</v>
      </c>
      <c r="K106">
        <v>59</v>
      </c>
      <c r="L106">
        <v>55</v>
      </c>
      <c r="M106" s="3">
        <v>45347.833333333336</v>
      </c>
      <c r="N106" t="s">
        <v>3</v>
      </c>
      <c r="O106" s="1">
        <f t="shared" si="51"/>
        <v>45347</v>
      </c>
      <c r="P106">
        <f t="shared" si="52"/>
        <v>22</v>
      </c>
      <c r="Q106">
        <f t="shared" si="53"/>
        <v>0</v>
      </c>
    </row>
    <row r="107" spans="1:17" x14ac:dyDescent="0.3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9</v>
      </c>
      <c r="J107">
        <v>136</v>
      </c>
      <c r="K107">
        <v>43</v>
      </c>
      <c r="L107">
        <v>56</v>
      </c>
      <c r="M107" s="3">
        <v>45347.875</v>
      </c>
      <c r="N107" t="s">
        <v>3</v>
      </c>
      <c r="O107" s="1">
        <f t="shared" si="51"/>
        <v>45347</v>
      </c>
      <c r="P107">
        <f t="shared" si="52"/>
        <v>23</v>
      </c>
      <c r="Q107">
        <f t="shared" si="53"/>
        <v>0</v>
      </c>
    </row>
    <row r="108" spans="1:17" x14ac:dyDescent="0.3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9</v>
      </c>
      <c r="J108">
        <v>142</v>
      </c>
      <c r="K108">
        <v>22</v>
      </c>
      <c r="L108">
        <v>57</v>
      </c>
      <c r="M108" s="3">
        <v>45347.916666666664</v>
      </c>
      <c r="N108" t="s">
        <v>3</v>
      </c>
      <c r="O108" s="1">
        <f t="shared" si="51"/>
        <v>45348</v>
      </c>
      <c r="P108">
        <f t="shared" si="52"/>
        <v>0</v>
      </c>
      <c r="Q108">
        <f t="shared" si="53"/>
        <v>0</v>
      </c>
    </row>
    <row r="109" spans="1:17" x14ac:dyDescent="0.3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9</v>
      </c>
      <c r="J109">
        <v>143</v>
      </c>
      <c r="K109">
        <v>-2</v>
      </c>
      <c r="L109">
        <v>59</v>
      </c>
      <c r="M109" s="3">
        <v>45347.958333333336</v>
      </c>
      <c r="N109" t="s">
        <v>3</v>
      </c>
      <c r="O109" s="1">
        <f t="shared" si="51"/>
        <v>45348</v>
      </c>
      <c r="P109">
        <f t="shared" si="52"/>
        <v>1</v>
      </c>
      <c r="Q109">
        <f t="shared" si="53"/>
        <v>0</v>
      </c>
    </row>
    <row r="110" spans="1:17" x14ac:dyDescent="0.3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9</v>
      </c>
      <c r="J110">
        <v>141</v>
      </c>
      <c r="K110">
        <v>-26</v>
      </c>
      <c r="L110">
        <v>61</v>
      </c>
      <c r="M110">
        <v>45348</v>
      </c>
      <c r="N110" t="s">
        <v>3</v>
      </c>
      <c r="O110" s="1">
        <f t="shared" si="51"/>
        <v>45348</v>
      </c>
      <c r="P110">
        <f t="shared" si="52"/>
        <v>2</v>
      </c>
      <c r="Q110">
        <f t="shared" si="53"/>
        <v>0</v>
      </c>
    </row>
    <row r="111" spans="1:17" x14ac:dyDescent="0.3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9</v>
      </c>
      <c r="J111">
        <v>134</v>
      </c>
      <c r="K111">
        <v>-46</v>
      </c>
      <c r="L111">
        <v>62</v>
      </c>
      <c r="M111" s="3">
        <v>45348.041666666664</v>
      </c>
      <c r="N111" t="s">
        <v>3</v>
      </c>
      <c r="O111" s="1">
        <f t="shared" si="51"/>
        <v>45348</v>
      </c>
      <c r="P111">
        <f t="shared" si="52"/>
        <v>3</v>
      </c>
      <c r="Q111">
        <f t="shared" si="53"/>
        <v>0</v>
      </c>
    </row>
    <row r="112" spans="1:17" x14ac:dyDescent="0.3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9</v>
      </c>
      <c r="J112">
        <v>126</v>
      </c>
      <c r="K112">
        <v>-62</v>
      </c>
      <c r="L112">
        <v>63</v>
      </c>
      <c r="M112" s="3">
        <v>45348.083333333336</v>
      </c>
      <c r="N112" t="s">
        <v>3</v>
      </c>
      <c r="O112" s="1">
        <f t="shared" si="51"/>
        <v>45348</v>
      </c>
      <c r="P112">
        <f t="shared" si="52"/>
        <v>4</v>
      </c>
      <c r="Q112">
        <f t="shared" si="53"/>
        <v>0</v>
      </c>
    </row>
    <row r="113" spans="1:17" x14ac:dyDescent="0.3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9</v>
      </c>
      <c r="J113">
        <v>116</v>
      </c>
      <c r="K113">
        <v>-75</v>
      </c>
      <c r="L113">
        <v>63</v>
      </c>
      <c r="M113" s="3">
        <v>45348.125</v>
      </c>
      <c r="N113" t="s">
        <v>3</v>
      </c>
      <c r="O113" s="1">
        <f t="shared" si="51"/>
        <v>45348</v>
      </c>
      <c r="P113">
        <f t="shared" si="52"/>
        <v>5</v>
      </c>
      <c r="Q113">
        <f t="shared" si="53"/>
        <v>0</v>
      </c>
    </row>
    <row r="114" spans="1:17" x14ac:dyDescent="0.3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8</v>
      </c>
      <c r="J114">
        <v>106</v>
      </c>
      <c r="K114">
        <v>-87</v>
      </c>
      <c r="L114">
        <v>63</v>
      </c>
      <c r="M114" s="3">
        <v>45348.166666666664</v>
      </c>
      <c r="N114" t="s">
        <v>3</v>
      </c>
      <c r="O114" s="1">
        <f t="shared" si="51"/>
        <v>45348</v>
      </c>
      <c r="P114">
        <f t="shared" si="52"/>
        <v>6</v>
      </c>
      <c r="Q114">
        <f t="shared" si="53"/>
        <v>0</v>
      </c>
    </row>
    <row r="115" spans="1:17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8</v>
      </c>
      <c r="J115">
        <v>96</v>
      </c>
      <c r="K115">
        <v>-98</v>
      </c>
      <c r="L115">
        <v>63</v>
      </c>
      <c r="M115" s="3">
        <v>45348.208333333336</v>
      </c>
      <c r="N115" t="s">
        <v>3</v>
      </c>
      <c r="O115" s="1">
        <f t="shared" si="51"/>
        <v>45348</v>
      </c>
      <c r="P115">
        <f t="shared" si="52"/>
        <v>7</v>
      </c>
      <c r="Q115">
        <f t="shared" si="53"/>
        <v>0</v>
      </c>
    </row>
    <row r="116" spans="1:17" x14ac:dyDescent="0.3">
      <c r="A116">
        <v>16</v>
      </c>
      <c r="B116">
        <v>38</v>
      </c>
      <c r="C116">
        <v>3</v>
      </c>
      <c r="D116">
        <v>0</v>
      </c>
      <c r="E116">
        <v>0</v>
      </c>
      <c r="F116">
        <v>70</v>
      </c>
      <c r="G116">
        <v>0</v>
      </c>
      <c r="H116">
        <v>16</v>
      </c>
      <c r="I116">
        <v>8</v>
      </c>
      <c r="J116">
        <v>86</v>
      </c>
      <c r="K116">
        <v>-108</v>
      </c>
      <c r="L116">
        <v>63</v>
      </c>
      <c r="M116" s="3">
        <v>45348.25</v>
      </c>
      <c r="N116" t="s">
        <v>3</v>
      </c>
      <c r="O116" s="1">
        <f t="shared" si="51"/>
        <v>45348</v>
      </c>
      <c r="P116">
        <f t="shared" si="52"/>
        <v>8</v>
      </c>
      <c r="Q116">
        <f t="shared" si="53"/>
        <v>0</v>
      </c>
    </row>
    <row r="117" spans="1:17" x14ac:dyDescent="0.3">
      <c r="A117">
        <v>86</v>
      </c>
      <c r="B117">
        <v>165</v>
      </c>
      <c r="C117">
        <v>23</v>
      </c>
      <c r="D117">
        <v>0</v>
      </c>
      <c r="E117">
        <v>0</v>
      </c>
      <c r="F117">
        <v>293</v>
      </c>
      <c r="G117">
        <v>0</v>
      </c>
      <c r="H117">
        <v>86</v>
      </c>
      <c r="I117">
        <v>9</v>
      </c>
      <c r="J117">
        <v>76</v>
      </c>
      <c r="K117">
        <v>-120</v>
      </c>
      <c r="L117">
        <v>56</v>
      </c>
      <c r="M117" s="3">
        <v>45348.291666666664</v>
      </c>
      <c r="N117" t="s">
        <v>3</v>
      </c>
      <c r="O117" s="1">
        <f t="shared" si="51"/>
        <v>45348</v>
      </c>
      <c r="P117">
        <f t="shared" si="52"/>
        <v>9</v>
      </c>
      <c r="Q117">
        <f t="shared" si="53"/>
        <v>0</v>
      </c>
    </row>
    <row r="118" spans="1:17" x14ac:dyDescent="0.3">
      <c r="A118">
        <v>158</v>
      </c>
      <c r="B118">
        <v>331</v>
      </c>
      <c r="C118">
        <v>40</v>
      </c>
      <c r="D118">
        <v>0</v>
      </c>
      <c r="E118">
        <v>0</v>
      </c>
      <c r="F118">
        <v>591</v>
      </c>
      <c r="G118">
        <v>0</v>
      </c>
      <c r="H118">
        <v>158</v>
      </c>
      <c r="I118">
        <v>10</v>
      </c>
      <c r="J118">
        <v>68</v>
      </c>
      <c r="K118">
        <v>-133</v>
      </c>
      <c r="L118">
        <v>54</v>
      </c>
      <c r="M118" s="3">
        <v>45348.333333333336</v>
      </c>
      <c r="N118" t="s">
        <v>3</v>
      </c>
      <c r="O118" s="1">
        <f t="shared" ref="O118:O149" si="54">IF(HOUR(M118)&gt;=22,INT(M118)+1,INT(M118))</f>
        <v>45348</v>
      </c>
      <c r="P118">
        <f t="shared" ref="P118:P149" si="55">IF(HOUR(M118)=22,0,IF(HOUR(M118)=23,1,HOUR(M118)+2))</f>
        <v>10</v>
      </c>
      <c r="Q118">
        <f t="shared" ref="Q118:Q149" si="56">MINUTE(M118)</f>
        <v>0</v>
      </c>
    </row>
    <row r="119" spans="1:17" x14ac:dyDescent="0.3">
      <c r="A119">
        <v>218</v>
      </c>
      <c r="B119">
        <v>469</v>
      </c>
      <c r="C119">
        <v>54</v>
      </c>
      <c r="D119">
        <v>0</v>
      </c>
      <c r="E119">
        <v>0</v>
      </c>
      <c r="F119">
        <v>765</v>
      </c>
      <c r="G119">
        <v>0</v>
      </c>
      <c r="H119">
        <v>218</v>
      </c>
      <c r="I119">
        <v>12</v>
      </c>
      <c r="J119">
        <v>61</v>
      </c>
      <c r="K119">
        <v>-147</v>
      </c>
      <c r="L119">
        <v>54</v>
      </c>
      <c r="M119" s="3">
        <v>45348.375</v>
      </c>
      <c r="N119" t="s">
        <v>3</v>
      </c>
      <c r="O119" s="1">
        <f t="shared" si="54"/>
        <v>45348</v>
      </c>
      <c r="P119">
        <f t="shared" si="55"/>
        <v>11</v>
      </c>
      <c r="Q119">
        <f t="shared" si="56"/>
        <v>0</v>
      </c>
    </row>
    <row r="120" spans="1:17" x14ac:dyDescent="0.3">
      <c r="A120">
        <v>237</v>
      </c>
      <c r="B120">
        <v>520</v>
      </c>
      <c r="C120">
        <v>54</v>
      </c>
      <c r="D120">
        <v>0</v>
      </c>
      <c r="E120">
        <v>0</v>
      </c>
      <c r="F120">
        <v>703</v>
      </c>
      <c r="G120">
        <v>0</v>
      </c>
      <c r="H120">
        <v>237</v>
      </c>
      <c r="I120">
        <v>13</v>
      </c>
      <c r="J120">
        <v>57</v>
      </c>
      <c r="K120">
        <v>-164</v>
      </c>
      <c r="L120">
        <v>57</v>
      </c>
      <c r="M120" s="3">
        <v>45348.416666666664</v>
      </c>
      <c r="N120" t="s">
        <v>3</v>
      </c>
      <c r="O120" s="1">
        <f t="shared" si="54"/>
        <v>45348</v>
      </c>
      <c r="P120">
        <f t="shared" si="55"/>
        <v>12</v>
      </c>
      <c r="Q120">
        <f t="shared" si="56"/>
        <v>0</v>
      </c>
    </row>
    <row r="121" spans="1:17" x14ac:dyDescent="0.3">
      <c r="A121">
        <v>217</v>
      </c>
      <c r="B121">
        <v>495</v>
      </c>
      <c r="C121">
        <v>40</v>
      </c>
      <c r="D121">
        <v>0</v>
      </c>
      <c r="E121">
        <v>0</v>
      </c>
      <c r="F121">
        <v>541</v>
      </c>
      <c r="G121">
        <v>0</v>
      </c>
      <c r="H121">
        <v>217</v>
      </c>
      <c r="I121">
        <v>13</v>
      </c>
      <c r="J121">
        <v>55</v>
      </c>
      <c r="K121">
        <v>178</v>
      </c>
      <c r="L121">
        <v>62</v>
      </c>
      <c r="M121" s="3">
        <v>45348.458333333336</v>
      </c>
      <c r="N121" t="s">
        <v>3</v>
      </c>
      <c r="O121" s="1">
        <f t="shared" si="54"/>
        <v>45348</v>
      </c>
      <c r="P121">
        <f t="shared" si="55"/>
        <v>13</v>
      </c>
      <c r="Q121">
        <f t="shared" si="56"/>
        <v>0</v>
      </c>
    </row>
    <row r="122" spans="1:17" x14ac:dyDescent="0.3">
      <c r="A122">
        <v>177</v>
      </c>
      <c r="B122">
        <v>425</v>
      </c>
      <c r="C122">
        <v>26</v>
      </c>
      <c r="D122">
        <v>0</v>
      </c>
      <c r="E122">
        <v>0</v>
      </c>
      <c r="F122">
        <v>388</v>
      </c>
      <c r="G122">
        <v>0</v>
      </c>
      <c r="H122">
        <v>177</v>
      </c>
      <c r="I122">
        <v>14</v>
      </c>
      <c r="J122">
        <v>57</v>
      </c>
      <c r="K122">
        <v>161</v>
      </c>
      <c r="L122">
        <v>67</v>
      </c>
      <c r="M122" s="3">
        <v>45348.5</v>
      </c>
      <c r="N122" t="s">
        <v>3</v>
      </c>
      <c r="O122" s="1">
        <f t="shared" si="54"/>
        <v>45348</v>
      </c>
      <c r="P122">
        <f t="shared" si="55"/>
        <v>14</v>
      </c>
      <c r="Q122">
        <f t="shared" si="56"/>
        <v>0</v>
      </c>
    </row>
    <row r="123" spans="1:17" x14ac:dyDescent="0.3">
      <c r="A123">
        <v>152</v>
      </c>
      <c r="B123">
        <v>373</v>
      </c>
      <c r="C123">
        <v>20</v>
      </c>
      <c r="D123">
        <v>0</v>
      </c>
      <c r="E123">
        <v>0</v>
      </c>
      <c r="F123">
        <v>416</v>
      </c>
      <c r="G123">
        <v>0</v>
      </c>
      <c r="H123">
        <v>152</v>
      </c>
      <c r="I123">
        <v>14</v>
      </c>
      <c r="J123">
        <v>62</v>
      </c>
      <c r="K123">
        <v>144</v>
      </c>
      <c r="L123">
        <v>66</v>
      </c>
      <c r="M123" s="3">
        <v>45348.541666666664</v>
      </c>
      <c r="N123" t="s">
        <v>3</v>
      </c>
      <c r="O123" s="1">
        <f t="shared" si="54"/>
        <v>45348</v>
      </c>
      <c r="P123">
        <f t="shared" si="55"/>
        <v>15</v>
      </c>
      <c r="Q123">
        <f t="shared" si="56"/>
        <v>0</v>
      </c>
    </row>
    <row r="124" spans="1:17" x14ac:dyDescent="0.3">
      <c r="A124">
        <v>120</v>
      </c>
      <c r="B124">
        <v>278</v>
      </c>
      <c r="C124">
        <v>16</v>
      </c>
      <c r="D124">
        <v>0</v>
      </c>
      <c r="E124">
        <v>0</v>
      </c>
      <c r="F124">
        <v>421</v>
      </c>
      <c r="G124">
        <v>0</v>
      </c>
      <c r="H124">
        <v>120</v>
      </c>
      <c r="I124">
        <v>14</v>
      </c>
      <c r="J124">
        <v>69</v>
      </c>
      <c r="K124">
        <v>130</v>
      </c>
      <c r="L124">
        <v>62</v>
      </c>
      <c r="M124" s="3">
        <v>45348.583333333336</v>
      </c>
      <c r="N124" t="s">
        <v>3</v>
      </c>
      <c r="O124" s="1">
        <f t="shared" si="54"/>
        <v>45348</v>
      </c>
      <c r="P124">
        <f t="shared" si="55"/>
        <v>16</v>
      </c>
      <c r="Q124">
        <f t="shared" si="56"/>
        <v>0</v>
      </c>
    </row>
    <row r="125" spans="1:17" x14ac:dyDescent="0.3">
      <c r="A125">
        <v>64</v>
      </c>
      <c r="B125">
        <v>144</v>
      </c>
      <c r="C125">
        <v>9</v>
      </c>
      <c r="D125">
        <v>0</v>
      </c>
      <c r="E125">
        <v>0</v>
      </c>
      <c r="F125">
        <v>306</v>
      </c>
      <c r="G125">
        <v>0</v>
      </c>
      <c r="H125">
        <v>64</v>
      </c>
      <c r="I125">
        <v>14</v>
      </c>
      <c r="J125">
        <v>78</v>
      </c>
      <c r="K125">
        <v>117</v>
      </c>
      <c r="L125">
        <v>61</v>
      </c>
      <c r="M125" s="3">
        <v>45348.625</v>
      </c>
      <c r="N125" t="s">
        <v>3</v>
      </c>
      <c r="O125" s="1">
        <f t="shared" si="54"/>
        <v>45348</v>
      </c>
      <c r="P125">
        <f t="shared" si="55"/>
        <v>17</v>
      </c>
      <c r="Q125">
        <f t="shared" si="56"/>
        <v>0</v>
      </c>
    </row>
    <row r="126" spans="1:17" x14ac:dyDescent="0.3">
      <c r="A126">
        <v>9</v>
      </c>
      <c r="B126">
        <v>23</v>
      </c>
      <c r="C126">
        <v>1</v>
      </c>
      <c r="D126">
        <v>0</v>
      </c>
      <c r="E126">
        <v>0</v>
      </c>
      <c r="F126">
        <v>67</v>
      </c>
      <c r="G126">
        <v>0</v>
      </c>
      <c r="H126">
        <v>9</v>
      </c>
      <c r="I126">
        <v>13</v>
      </c>
      <c r="J126">
        <v>87</v>
      </c>
      <c r="K126">
        <v>106</v>
      </c>
      <c r="L126">
        <v>64</v>
      </c>
      <c r="M126" s="3">
        <v>45348.666666666664</v>
      </c>
      <c r="N126" t="s">
        <v>3</v>
      </c>
      <c r="O126" s="1">
        <f t="shared" si="54"/>
        <v>45348</v>
      </c>
      <c r="P126">
        <f t="shared" si="55"/>
        <v>18</v>
      </c>
      <c r="Q126">
        <f t="shared" si="56"/>
        <v>0</v>
      </c>
    </row>
    <row r="127" spans="1:17" x14ac:dyDescent="0.3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12</v>
      </c>
      <c r="J127">
        <v>98</v>
      </c>
      <c r="K127">
        <v>95</v>
      </c>
      <c r="L127">
        <v>60</v>
      </c>
      <c r="M127" s="3">
        <v>45348.708333333336</v>
      </c>
      <c r="N127" t="s">
        <v>3</v>
      </c>
      <c r="O127" s="1">
        <f t="shared" si="54"/>
        <v>45348</v>
      </c>
      <c r="P127">
        <f t="shared" si="55"/>
        <v>19</v>
      </c>
      <c r="Q127">
        <f t="shared" si="56"/>
        <v>0</v>
      </c>
    </row>
    <row r="128" spans="1:17" x14ac:dyDescent="0.3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11</v>
      </c>
      <c r="J128">
        <v>108</v>
      </c>
      <c r="K128">
        <v>84</v>
      </c>
      <c r="L128">
        <v>56</v>
      </c>
      <c r="M128" s="3">
        <v>45348.75</v>
      </c>
      <c r="N128" t="s">
        <v>3</v>
      </c>
      <c r="O128" s="1">
        <f t="shared" si="54"/>
        <v>45348</v>
      </c>
      <c r="P128">
        <f t="shared" si="55"/>
        <v>20</v>
      </c>
      <c r="Q128">
        <f t="shared" si="56"/>
        <v>0</v>
      </c>
    </row>
    <row r="129" spans="1:17" x14ac:dyDescent="0.3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10</v>
      </c>
      <c r="J129">
        <v>118</v>
      </c>
      <c r="K129">
        <v>73</v>
      </c>
      <c r="L129">
        <v>54</v>
      </c>
      <c r="M129" s="3">
        <v>45348.791666666664</v>
      </c>
      <c r="N129" t="s">
        <v>3</v>
      </c>
      <c r="O129" s="1">
        <f t="shared" si="54"/>
        <v>45348</v>
      </c>
      <c r="P129">
        <f t="shared" si="55"/>
        <v>21</v>
      </c>
      <c r="Q129">
        <f t="shared" si="56"/>
        <v>0</v>
      </c>
    </row>
    <row r="130" spans="1:17" x14ac:dyDescent="0.3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10</v>
      </c>
      <c r="J130">
        <v>128</v>
      </c>
      <c r="K130">
        <v>59</v>
      </c>
      <c r="L130">
        <v>51</v>
      </c>
      <c r="M130" s="3">
        <v>45348.833333333336</v>
      </c>
      <c r="N130" t="s">
        <v>3</v>
      </c>
      <c r="O130" s="1">
        <f t="shared" si="54"/>
        <v>45348</v>
      </c>
      <c r="P130">
        <f t="shared" si="55"/>
        <v>22</v>
      </c>
      <c r="Q130">
        <f t="shared" si="56"/>
        <v>0</v>
      </c>
    </row>
    <row r="131" spans="1:17" x14ac:dyDescent="0.3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9</v>
      </c>
      <c r="J131">
        <v>136</v>
      </c>
      <c r="K131">
        <v>42</v>
      </c>
      <c r="L131">
        <v>49</v>
      </c>
      <c r="M131" s="3">
        <v>45348.875</v>
      </c>
      <c r="N131" t="s">
        <v>3</v>
      </c>
      <c r="O131" s="1">
        <f t="shared" si="54"/>
        <v>45348</v>
      </c>
      <c r="P131">
        <f t="shared" si="55"/>
        <v>23</v>
      </c>
      <c r="Q131">
        <f t="shared" si="56"/>
        <v>0</v>
      </c>
    </row>
    <row r="132" spans="1:17" x14ac:dyDescent="0.3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9</v>
      </c>
      <c r="J132">
        <v>141</v>
      </c>
      <c r="K132">
        <v>22</v>
      </c>
      <c r="L132">
        <v>49</v>
      </c>
      <c r="M132" s="3">
        <v>45348.916666666664</v>
      </c>
      <c r="N132" t="s">
        <v>3</v>
      </c>
      <c r="O132" s="1">
        <f t="shared" si="54"/>
        <v>45349</v>
      </c>
      <c r="P132">
        <f t="shared" si="55"/>
        <v>0</v>
      </c>
      <c r="Q132">
        <f t="shared" si="56"/>
        <v>0</v>
      </c>
    </row>
    <row r="133" spans="1:17" x14ac:dyDescent="0.3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9</v>
      </c>
      <c r="J133">
        <v>143</v>
      </c>
      <c r="K133">
        <v>-2</v>
      </c>
      <c r="L133">
        <v>51</v>
      </c>
      <c r="M133" s="3">
        <v>45348.958333333336</v>
      </c>
      <c r="N133" t="s">
        <v>3</v>
      </c>
      <c r="O133" s="1">
        <f t="shared" si="54"/>
        <v>45349</v>
      </c>
      <c r="P133">
        <f t="shared" si="55"/>
        <v>1</v>
      </c>
      <c r="Q133">
        <f t="shared" si="56"/>
        <v>0</v>
      </c>
    </row>
    <row r="134" spans="1:17" x14ac:dyDescent="0.3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9</v>
      </c>
      <c r="J134">
        <v>140</v>
      </c>
      <c r="K134">
        <v>-26</v>
      </c>
      <c r="L134">
        <v>51</v>
      </c>
      <c r="M134">
        <v>45349</v>
      </c>
      <c r="N134" t="s">
        <v>3</v>
      </c>
      <c r="O134" s="1">
        <f t="shared" si="54"/>
        <v>45349</v>
      </c>
      <c r="P134">
        <f t="shared" si="55"/>
        <v>2</v>
      </c>
      <c r="Q134">
        <f t="shared" si="56"/>
        <v>0</v>
      </c>
    </row>
    <row r="135" spans="1:17" x14ac:dyDescent="0.3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9</v>
      </c>
      <c r="J135">
        <v>134</v>
      </c>
      <c r="K135">
        <v>-46</v>
      </c>
      <c r="L135">
        <v>49</v>
      </c>
      <c r="M135" s="3">
        <v>45349.041666666664</v>
      </c>
      <c r="N135" t="s">
        <v>3</v>
      </c>
      <c r="O135" s="1">
        <f t="shared" si="54"/>
        <v>45349</v>
      </c>
      <c r="P135">
        <f t="shared" si="55"/>
        <v>3</v>
      </c>
      <c r="Q135">
        <f t="shared" si="56"/>
        <v>0</v>
      </c>
    </row>
    <row r="136" spans="1:17" x14ac:dyDescent="0.3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8</v>
      </c>
      <c r="J136">
        <v>126</v>
      </c>
      <c r="K136">
        <v>-62</v>
      </c>
      <c r="L136">
        <v>47</v>
      </c>
      <c r="M136" s="3">
        <v>45349.083333333336</v>
      </c>
      <c r="N136" t="s">
        <v>3</v>
      </c>
      <c r="O136" s="1">
        <f t="shared" si="54"/>
        <v>45349</v>
      </c>
      <c r="P136">
        <f t="shared" si="55"/>
        <v>4</v>
      </c>
      <c r="Q136">
        <f t="shared" si="56"/>
        <v>0</v>
      </c>
    </row>
    <row r="137" spans="1:17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8</v>
      </c>
      <c r="J137">
        <v>116</v>
      </c>
      <c r="K137">
        <v>-75</v>
      </c>
      <c r="L137">
        <v>44</v>
      </c>
      <c r="M137" s="3">
        <v>45349.125</v>
      </c>
      <c r="N137" t="s">
        <v>3</v>
      </c>
      <c r="O137" s="1">
        <f t="shared" si="54"/>
        <v>45349</v>
      </c>
      <c r="P137">
        <f t="shared" si="55"/>
        <v>5</v>
      </c>
      <c r="Q137">
        <f t="shared" si="56"/>
        <v>0</v>
      </c>
    </row>
    <row r="138" spans="1:17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8</v>
      </c>
      <c r="J138">
        <v>106</v>
      </c>
      <c r="K138">
        <v>-87</v>
      </c>
      <c r="L138">
        <v>41</v>
      </c>
      <c r="M138" s="3">
        <v>45349.166666666664</v>
      </c>
      <c r="N138" t="s">
        <v>3</v>
      </c>
      <c r="O138" s="1">
        <f t="shared" si="54"/>
        <v>45349</v>
      </c>
      <c r="P138">
        <f t="shared" si="55"/>
        <v>6</v>
      </c>
      <c r="Q138">
        <f t="shared" si="56"/>
        <v>0</v>
      </c>
    </row>
    <row r="139" spans="1:17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8</v>
      </c>
      <c r="J139">
        <v>95</v>
      </c>
      <c r="K139">
        <v>-97</v>
      </c>
      <c r="L139">
        <v>37</v>
      </c>
      <c r="M139" s="3">
        <v>45349.208333333336</v>
      </c>
      <c r="N139" t="s">
        <v>3</v>
      </c>
      <c r="O139" s="1">
        <f t="shared" si="54"/>
        <v>45349</v>
      </c>
      <c r="P139">
        <f t="shared" si="55"/>
        <v>7</v>
      </c>
      <c r="Q139">
        <f t="shared" si="56"/>
        <v>0</v>
      </c>
    </row>
    <row r="140" spans="1:17" x14ac:dyDescent="0.3">
      <c r="A140">
        <v>29</v>
      </c>
      <c r="B140">
        <v>44</v>
      </c>
      <c r="C140">
        <v>6</v>
      </c>
      <c r="D140">
        <v>0</v>
      </c>
      <c r="E140">
        <v>0</v>
      </c>
      <c r="F140">
        <v>138</v>
      </c>
      <c r="G140">
        <v>0</v>
      </c>
      <c r="H140">
        <v>29</v>
      </c>
      <c r="I140">
        <v>8</v>
      </c>
      <c r="J140">
        <v>85</v>
      </c>
      <c r="K140">
        <v>-108</v>
      </c>
      <c r="L140">
        <v>34</v>
      </c>
      <c r="M140" s="3">
        <v>45349.25</v>
      </c>
      <c r="N140" t="s">
        <v>3</v>
      </c>
      <c r="O140" s="1">
        <f t="shared" si="54"/>
        <v>45349</v>
      </c>
      <c r="P140">
        <f t="shared" si="55"/>
        <v>8</v>
      </c>
      <c r="Q140">
        <f t="shared" si="56"/>
        <v>0</v>
      </c>
    </row>
    <row r="141" spans="1:17" x14ac:dyDescent="0.3">
      <c r="A141">
        <v>130</v>
      </c>
      <c r="B141">
        <v>188</v>
      </c>
      <c r="C141">
        <v>35</v>
      </c>
      <c r="D141">
        <v>16</v>
      </c>
      <c r="E141">
        <v>63</v>
      </c>
      <c r="F141">
        <v>449</v>
      </c>
      <c r="G141">
        <v>0</v>
      </c>
      <c r="H141">
        <v>114</v>
      </c>
      <c r="I141">
        <v>8</v>
      </c>
      <c r="J141">
        <v>76</v>
      </c>
      <c r="K141">
        <v>-120</v>
      </c>
      <c r="L141">
        <v>31</v>
      </c>
      <c r="M141" s="3">
        <v>45349.291666666664</v>
      </c>
      <c r="N141" t="s">
        <v>3</v>
      </c>
      <c r="O141" s="1">
        <f t="shared" si="54"/>
        <v>45349</v>
      </c>
      <c r="P141">
        <f t="shared" si="55"/>
        <v>9</v>
      </c>
      <c r="Q141">
        <f t="shared" si="56"/>
        <v>0</v>
      </c>
    </row>
    <row r="142" spans="1:17" x14ac:dyDescent="0.3">
      <c r="A142">
        <v>250</v>
      </c>
      <c r="B142">
        <v>339</v>
      </c>
      <c r="C142">
        <v>58</v>
      </c>
      <c r="D142">
        <v>73</v>
      </c>
      <c r="E142">
        <v>187</v>
      </c>
      <c r="F142">
        <v>604</v>
      </c>
      <c r="G142">
        <v>0</v>
      </c>
      <c r="H142">
        <v>178</v>
      </c>
      <c r="I142">
        <v>8</v>
      </c>
      <c r="J142">
        <v>67</v>
      </c>
      <c r="K142">
        <v>-133</v>
      </c>
      <c r="L142">
        <v>26</v>
      </c>
      <c r="M142" s="3">
        <v>45349.333333333336</v>
      </c>
      <c r="N142" t="s">
        <v>3</v>
      </c>
      <c r="O142" s="1">
        <f t="shared" si="54"/>
        <v>45349</v>
      </c>
      <c r="P142">
        <f t="shared" si="55"/>
        <v>10</v>
      </c>
      <c r="Q142">
        <f t="shared" si="56"/>
        <v>0</v>
      </c>
    </row>
    <row r="143" spans="1:17" x14ac:dyDescent="0.3">
      <c r="A143">
        <v>348</v>
      </c>
      <c r="B143">
        <v>464</v>
      </c>
      <c r="C143">
        <v>77</v>
      </c>
      <c r="D143">
        <v>126</v>
      </c>
      <c r="E143">
        <v>257</v>
      </c>
      <c r="F143">
        <v>701</v>
      </c>
      <c r="G143">
        <v>0</v>
      </c>
      <c r="H143">
        <v>221</v>
      </c>
      <c r="I143">
        <v>8</v>
      </c>
      <c r="J143">
        <v>61</v>
      </c>
      <c r="K143">
        <v>-147</v>
      </c>
      <c r="L143">
        <v>25</v>
      </c>
      <c r="M143" s="3">
        <v>45349.375</v>
      </c>
      <c r="N143" t="s">
        <v>3</v>
      </c>
      <c r="O143" s="1">
        <f t="shared" si="54"/>
        <v>45349</v>
      </c>
      <c r="P143">
        <f t="shared" si="55"/>
        <v>11</v>
      </c>
      <c r="Q143">
        <f t="shared" si="56"/>
        <v>0</v>
      </c>
    </row>
    <row r="144" spans="1:17" x14ac:dyDescent="0.3">
      <c r="A144">
        <v>419</v>
      </c>
      <c r="B144">
        <v>543</v>
      </c>
      <c r="C144">
        <v>96</v>
      </c>
      <c r="D144">
        <v>177</v>
      </c>
      <c r="E144">
        <v>319</v>
      </c>
      <c r="F144">
        <v>753</v>
      </c>
      <c r="G144">
        <v>0</v>
      </c>
      <c r="H144">
        <v>241</v>
      </c>
      <c r="I144">
        <v>9</v>
      </c>
      <c r="J144">
        <v>56</v>
      </c>
      <c r="K144">
        <v>-164</v>
      </c>
      <c r="L144">
        <v>23</v>
      </c>
      <c r="M144" s="3">
        <v>45349.416666666664</v>
      </c>
      <c r="N144" t="s">
        <v>3</v>
      </c>
      <c r="O144" s="1">
        <f t="shared" si="54"/>
        <v>45349</v>
      </c>
      <c r="P144">
        <f t="shared" si="55"/>
        <v>12</v>
      </c>
      <c r="Q144">
        <f t="shared" si="56"/>
        <v>0</v>
      </c>
    </row>
    <row r="145" spans="1:17" x14ac:dyDescent="0.3">
      <c r="A145">
        <v>447</v>
      </c>
      <c r="B145">
        <v>566</v>
      </c>
      <c r="C145">
        <v>109</v>
      </c>
      <c r="D145">
        <v>204</v>
      </c>
      <c r="E145">
        <v>355</v>
      </c>
      <c r="F145">
        <v>764</v>
      </c>
      <c r="G145">
        <v>0</v>
      </c>
      <c r="H145">
        <v>243</v>
      </c>
      <c r="I145">
        <v>9</v>
      </c>
      <c r="J145">
        <v>55</v>
      </c>
      <c r="K145">
        <v>178</v>
      </c>
      <c r="L145">
        <v>21</v>
      </c>
      <c r="M145" s="3">
        <v>45349.458333333336</v>
      </c>
      <c r="N145" t="s">
        <v>3</v>
      </c>
      <c r="O145" s="1">
        <f t="shared" si="54"/>
        <v>45349</v>
      </c>
      <c r="P145">
        <f t="shared" si="55"/>
        <v>13</v>
      </c>
      <c r="Q145">
        <f t="shared" si="56"/>
        <v>0</v>
      </c>
    </row>
    <row r="146" spans="1:17" x14ac:dyDescent="0.3">
      <c r="A146">
        <v>438</v>
      </c>
      <c r="B146">
        <v>537</v>
      </c>
      <c r="C146">
        <v>115</v>
      </c>
      <c r="D146">
        <v>220</v>
      </c>
      <c r="E146">
        <v>403</v>
      </c>
      <c r="F146">
        <v>769</v>
      </c>
      <c r="G146">
        <v>0</v>
      </c>
      <c r="H146">
        <v>218</v>
      </c>
      <c r="I146">
        <v>10</v>
      </c>
      <c r="J146">
        <v>57</v>
      </c>
      <c r="K146">
        <v>160</v>
      </c>
      <c r="L146">
        <v>18</v>
      </c>
      <c r="M146" s="3">
        <v>45349.5</v>
      </c>
      <c r="N146" t="s">
        <v>3</v>
      </c>
      <c r="O146" s="1">
        <f t="shared" si="54"/>
        <v>45349</v>
      </c>
      <c r="P146">
        <f t="shared" si="55"/>
        <v>14</v>
      </c>
      <c r="Q146">
        <f t="shared" si="56"/>
        <v>0</v>
      </c>
    </row>
    <row r="147" spans="1:17" x14ac:dyDescent="0.3">
      <c r="A147">
        <v>396</v>
      </c>
      <c r="B147">
        <v>456</v>
      </c>
      <c r="C147">
        <v>112</v>
      </c>
      <c r="D147">
        <v>230</v>
      </c>
      <c r="E147">
        <v>485</v>
      </c>
      <c r="F147">
        <v>749</v>
      </c>
      <c r="G147">
        <v>0</v>
      </c>
      <c r="H147">
        <v>166</v>
      </c>
      <c r="I147">
        <v>10</v>
      </c>
      <c r="J147">
        <v>62</v>
      </c>
      <c r="K147">
        <v>144</v>
      </c>
      <c r="L147">
        <v>13</v>
      </c>
      <c r="M147" s="3">
        <v>45349.541666666664</v>
      </c>
      <c r="N147" t="s">
        <v>3</v>
      </c>
      <c r="O147" s="1">
        <f t="shared" si="54"/>
        <v>45349</v>
      </c>
      <c r="P147">
        <f t="shared" si="55"/>
        <v>15</v>
      </c>
      <c r="Q147">
        <f t="shared" si="56"/>
        <v>0</v>
      </c>
    </row>
    <row r="148" spans="1:17" x14ac:dyDescent="0.3">
      <c r="A148">
        <v>293</v>
      </c>
      <c r="B148">
        <v>329</v>
      </c>
      <c r="C148">
        <v>95</v>
      </c>
      <c r="D148">
        <v>169</v>
      </c>
      <c r="E148">
        <v>467</v>
      </c>
      <c r="F148">
        <v>679</v>
      </c>
      <c r="G148">
        <v>0</v>
      </c>
      <c r="H148">
        <v>123</v>
      </c>
      <c r="I148">
        <v>10</v>
      </c>
      <c r="J148">
        <v>69</v>
      </c>
      <c r="K148">
        <v>130</v>
      </c>
      <c r="L148">
        <v>11</v>
      </c>
      <c r="M148" s="3">
        <v>45349.583333333336</v>
      </c>
      <c r="N148" t="s">
        <v>3</v>
      </c>
      <c r="O148" s="1">
        <f t="shared" si="54"/>
        <v>45349</v>
      </c>
      <c r="P148">
        <f t="shared" si="55"/>
        <v>16</v>
      </c>
      <c r="Q148">
        <f t="shared" si="56"/>
        <v>0</v>
      </c>
    </row>
    <row r="149" spans="1:17" x14ac:dyDescent="0.3">
      <c r="A149">
        <v>152</v>
      </c>
      <c r="B149">
        <v>176</v>
      </c>
      <c r="C149">
        <v>56</v>
      </c>
      <c r="D149">
        <v>72</v>
      </c>
      <c r="E149">
        <v>333</v>
      </c>
      <c r="F149">
        <v>551</v>
      </c>
      <c r="G149">
        <v>0</v>
      </c>
      <c r="H149">
        <v>80</v>
      </c>
      <c r="I149">
        <v>11</v>
      </c>
      <c r="J149">
        <v>77</v>
      </c>
      <c r="K149">
        <v>117</v>
      </c>
      <c r="L149">
        <v>14</v>
      </c>
      <c r="M149" s="3">
        <v>45349.625</v>
      </c>
      <c r="N149" t="s">
        <v>3</v>
      </c>
      <c r="O149" s="1">
        <f t="shared" si="54"/>
        <v>45349</v>
      </c>
      <c r="P149">
        <f t="shared" si="55"/>
        <v>17</v>
      </c>
      <c r="Q149">
        <f t="shared" si="56"/>
        <v>0</v>
      </c>
    </row>
    <row r="150" spans="1:17" x14ac:dyDescent="0.3">
      <c r="A150">
        <v>26</v>
      </c>
      <c r="B150">
        <v>29</v>
      </c>
      <c r="C150">
        <v>8</v>
      </c>
      <c r="D150">
        <v>7</v>
      </c>
      <c r="E150">
        <v>85</v>
      </c>
      <c r="F150">
        <v>145</v>
      </c>
      <c r="G150">
        <v>0</v>
      </c>
      <c r="H150">
        <v>19</v>
      </c>
      <c r="I150">
        <v>10</v>
      </c>
      <c r="J150">
        <v>87</v>
      </c>
      <c r="K150">
        <v>106</v>
      </c>
      <c r="L150">
        <v>10</v>
      </c>
      <c r="M150" s="3">
        <v>45349.666666666664</v>
      </c>
      <c r="N150" t="s">
        <v>3</v>
      </c>
      <c r="O150" s="1">
        <f t="shared" ref="O150:O169" si="57">IF(HOUR(M150)&gt;=22,INT(M150)+1,INT(M150))</f>
        <v>45349</v>
      </c>
      <c r="P150">
        <f t="shared" ref="P150:P169" si="58">IF(HOUR(M150)=22,0,IF(HOUR(M150)=23,1,HOUR(M150)+2))</f>
        <v>18</v>
      </c>
      <c r="Q150">
        <f t="shared" ref="Q150:Q169" si="59">MINUTE(M150)</f>
        <v>0</v>
      </c>
    </row>
    <row r="151" spans="1:17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8</v>
      </c>
      <c r="J151">
        <v>97</v>
      </c>
      <c r="K151">
        <v>95</v>
      </c>
      <c r="L151">
        <v>10</v>
      </c>
      <c r="M151" s="3">
        <v>45349.708333333336</v>
      </c>
      <c r="N151" t="s">
        <v>3</v>
      </c>
      <c r="O151" s="1">
        <f t="shared" si="57"/>
        <v>45349</v>
      </c>
      <c r="P151">
        <f t="shared" si="58"/>
        <v>19</v>
      </c>
      <c r="Q151">
        <f t="shared" si="59"/>
        <v>0</v>
      </c>
    </row>
    <row r="152" spans="1:17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7</v>
      </c>
      <c r="J152">
        <v>108</v>
      </c>
      <c r="K152">
        <v>84</v>
      </c>
      <c r="L152">
        <v>10</v>
      </c>
      <c r="M152" s="3">
        <v>45349.75</v>
      </c>
      <c r="N152" t="s">
        <v>3</v>
      </c>
      <c r="O152" s="1">
        <f t="shared" si="57"/>
        <v>45349</v>
      </c>
      <c r="P152">
        <f t="shared" si="58"/>
        <v>20</v>
      </c>
      <c r="Q152">
        <f t="shared" si="59"/>
        <v>0</v>
      </c>
    </row>
    <row r="153" spans="1:17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6</v>
      </c>
      <c r="J153">
        <v>118</v>
      </c>
      <c r="K153">
        <v>72</v>
      </c>
      <c r="L153">
        <v>10</v>
      </c>
      <c r="M153" s="3">
        <v>45349.791666666664</v>
      </c>
      <c r="N153" t="s">
        <v>3</v>
      </c>
      <c r="O153" s="1">
        <f t="shared" si="57"/>
        <v>45349</v>
      </c>
      <c r="P153">
        <f t="shared" si="58"/>
        <v>21</v>
      </c>
      <c r="Q153">
        <f t="shared" si="59"/>
        <v>0</v>
      </c>
    </row>
    <row r="154" spans="1:17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5</v>
      </c>
      <c r="J154">
        <v>127</v>
      </c>
      <c r="K154">
        <v>59</v>
      </c>
      <c r="L154">
        <v>10</v>
      </c>
      <c r="M154" s="3">
        <v>45349.833333333336</v>
      </c>
      <c r="N154" t="s">
        <v>3</v>
      </c>
      <c r="O154" s="1">
        <f t="shared" si="57"/>
        <v>45349</v>
      </c>
      <c r="P154">
        <f t="shared" si="58"/>
        <v>22</v>
      </c>
      <c r="Q154">
        <f t="shared" si="59"/>
        <v>0</v>
      </c>
    </row>
    <row r="155" spans="1:17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5</v>
      </c>
      <c r="J155">
        <v>135</v>
      </c>
      <c r="K155">
        <v>42</v>
      </c>
      <c r="L155">
        <v>10</v>
      </c>
      <c r="M155" s="3">
        <v>45349.875</v>
      </c>
      <c r="N155" t="s">
        <v>3</v>
      </c>
      <c r="O155" s="1">
        <f t="shared" si="57"/>
        <v>45349</v>
      </c>
      <c r="P155">
        <f t="shared" si="58"/>
        <v>23</v>
      </c>
      <c r="Q155">
        <f t="shared" si="59"/>
        <v>0</v>
      </c>
    </row>
    <row r="156" spans="1:17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4</v>
      </c>
      <c r="J156">
        <v>141</v>
      </c>
      <c r="K156">
        <v>21</v>
      </c>
      <c r="L156">
        <v>10</v>
      </c>
      <c r="M156" s="3">
        <v>45349.916666666664</v>
      </c>
      <c r="N156" t="s">
        <v>3</v>
      </c>
      <c r="O156" s="1">
        <f t="shared" si="57"/>
        <v>45350</v>
      </c>
      <c r="P156">
        <f t="shared" si="58"/>
        <v>0</v>
      </c>
      <c r="Q156">
        <f t="shared" si="59"/>
        <v>0</v>
      </c>
    </row>
    <row r="157" spans="1:17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4</v>
      </c>
      <c r="J157">
        <v>143</v>
      </c>
      <c r="K157">
        <v>-2</v>
      </c>
      <c r="L157">
        <v>9</v>
      </c>
      <c r="M157" s="3">
        <v>45349.958333333336</v>
      </c>
      <c r="N157" t="s">
        <v>3</v>
      </c>
      <c r="O157" s="1">
        <f t="shared" si="57"/>
        <v>45350</v>
      </c>
      <c r="P157">
        <f t="shared" si="58"/>
        <v>1</v>
      </c>
      <c r="Q157">
        <f t="shared" si="59"/>
        <v>0</v>
      </c>
    </row>
    <row r="158" spans="1:17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3</v>
      </c>
      <c r="J158">
        <v>140</v>
      </c>
      <c r="K158">
        <v>-26</v>
      </c>
      <c r="L158">
        <v>7</v>
      </c>
      <c r="M158">
        <v>45350</v>
      </c>
      <c r="N158" t="s">
        <v>3</v>
      </c>
      <c r="O158" s="1">
        <f t="shared" si="57"/>
        <v>45350</v>
      </c>
      <c r="P158">
        <f t="shared" si="58"/>
        <v>2</v>
      </c>
      <c r="Q158">
        <f t="shared" si="59"/>
        <v>0</v>
      </c>
    </row>
    <row r="159" spans="1:17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2</v>
      </c>
      <c r="J159">
        <v>134</v>
      </c>
      <c r="K159">
        <v>-46</v>
      </c>
      <c r="L159">
        <v>6</v>
      </c>
      <c r="M159" s="3">
        <v>45350.041666666664</v>
      </c>
      <c r="N159" t="s">
        <v>3</v>
      </c>
      <c r="O159" s="1">
        <f t="shared" si="57"/>
        <v>45350</v>
      </c>
      <c r="P159">
        <f t="shared" si="58"/>
        <v>3</v>
      </c>
      <c r="Q159">
        <f t="shared" si="59"/>
        <v>0</v>
      </c>
    </row>
    <row r="160" spans="1:17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2</v>
      </c>
      <c r="J160">
        <v>125</v>
      </c>
      <c r="K160">
        <v>-62</v>
      </c>
      <c r="L160">
        <v>5</v>
      </c>
      <c r="M160" s="3">
        <v>45350.083333333336</v>
      </c>
      <c r="N160" t="s">
        <v>3</v>
      </c>
      <c r="O160" s="1">
        <f t="shared" si="57"/>
        <v>45350</v>
      </c>
      <c r="P160">
        <f t="shared" si="58"/>
        <v>4</v>
      </c>
      <c r="Q160">
        <f t="shared" si="59"/>
        <v>0</v>
      </c>
    </row>
    <row r="161" spans="1:17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2</v>
      </c>
      <c r="J161">
        <v>116</v>
      </c>
      <c r="K161">
        <v>-75</v>
      </c>
      <c r="L161">
        <v>5</v>
      </c>
      <c r="M161" s="3">
        <v>45350.125</v>
      </c>
      <c r="N161" t="s">
        <v>3</v>
      </c>
      <c r="O161" s="1">
        <f t="shared" si="57"/>
        <v>45350</v>
      </c>
      <c r="P161">
        <f t="shared" si="58"/>
        <v>5</v>
      </c>
      <c r="Q161">
        <f t="shared" si="59"/>
        <v>0</v>
      </c>
    </row>
    <row r="162" spans="1:17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2</v>
      </c>
      <c r="J162">
        <v>105</v>
      </c>
      <c r="K162">
        <v>-86</v>
      </c>
      <c r="L162">
        <v>5</v>
      </c>
      <c r="M162" s="3">
        <v>45350.166666666664</v>
      </c>
      <c r="N162" t="s">
        <v>3</v>
      </c>
      <c r="O162" s="1">
        <f t="shared" si="57"/>
        <v>45350</v>
      </c>
      <c r="P162">
        <f t="shared" si="58"/>
        <v>6</v>
      </c>
      <c r="Q162">
        <f t="shared" si="59"/>
        <v>0</v>
      </c>
    </row>
    <row r="163" spans="1:17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2</v>
      </c>
      <c r="J163">
        <v>95</v>
      </c>
      <c r="K163">
        <v>-97</v>
      </c>
      <c r="L163">
        <v>4</v>
      </c>
      <c r="M163" s="3">
        <v>45350.208333333336</v>
      </c>
      <c r="N163" t="s">
        <v>3</v>
      </c>
      <c r="O163" s="1">
        <f t="shared" si="57"/>
        <v>45350</v>
      </c>
      <c r="P163">
        <f t="shared" si="58"/>
        <v>7</v>
      </c>
      <c r="Q163">
        <f t="shared" si="59"/>
        <v>0</v>
      </c>
    </row>
    <row r="164" spans="1:17" x14ac:dyDescent="0.3">
      <c r="A164">
        <v>59</v>
      </c>
      <c r="B164">
        <v>59</v>
      </c>
      <c r="C164">
        <v>21</v>
      </c>
      <c r="D164">
        <v>30</v>
      </c>
      <c r="E164">
        <v>297</v>
      </c>
      <c r="F164">
        <v>297</v>
      </c>
      <c r="G164">
        <v>0</v>
      </c>
      <c r="H164">
        <v>28</v>
      </c>
      <c r="I164">
        <v>2</v>
      </c>
      <c r="J164">
        <v>85</v>
      </c>
      <c r="K164">
        <v>-108</v>
      </c>
      <c r="L164">
        <v>0</v>
      </c>
      <c r="M164" s="3">
        <v>45350.25</v>
      </c>
      <c r="N164" t="s">
        <v>3</v>
      </c>
      <c r="O164" s="1">
        <f t="shared" si="57"/>
        <v>45350</v>
      </c>
      <c r="P164">
        <f t="shared" si="58"/>
        <v>8</v>
      </c>
      <c r="Q164">
        <f t="shared" si="59"/>
        <v>0</v>
      </c>
    </row>
    <row r="165" spans="1:17" x14ac:dyDescent="0.3">
      <c r="A165">
        <v>222</v>
      </c>
      <c r="B165">
        <v>222</v>
      </c>
      <c r="C165">
        <v>94</v>
      </c>
      <c r="D165">
        <v>163</v>
      </c>
      <c r="E165">
        <v>643</v>
      </c>
      <c r="F165">
        <v>643</v>
      </c>
      <c r="G165">
        <v>0</v>
      </c>
      <c r="H165">
        <v>60</v>
      </c>
      <c r="I165">
        <v>3</v>
      </c>
      <c r="J165">
        <v>75</v>
      </c>
      <c r="K165">
        <v>-119</v>
      </c>
      <c r="L165">
        <v>0</v>
      </c>
      <c r="M165" s="3">
        <v>45350.291666666664</v>
      </c>
      <c r="N165" t="s">
        <v>3</v>
      </c>
      <c r="O165" s="1">
        <f t="shared" si="57"/>
        <v>45350</v>
      </c>
      <c r="P165">
        <f t="shared" si="58"/>
        <v>9</v>
      </c>
      <c r="Q165">
        <f t="shared" si="59"/>
        <v>0</v>
      </c>
    </row>
    <row r="166" spans="1:17" x14ac:dyDescent="0.3">
      <c r="A166">
        <v>383</v>
      </c>
      <c r="B166">
        <v>383</v>
      </c>
      <c r="C166">
        <v>159</v>
      </c>
      <c r="D166">
        <v>306</v>
      </c>
      <c r="E166">
        <v>783</v>
      </c>
      <c r="F166">
        <v>783</v>
      </c>
      <c r="G166">
        <v>0</v>
      </c>
      <c r="H166">
        <v>76</v>
      </c>
      <c r="I166">
        <v>4</v>
      </c>
      <c r="J166">
        <v>67</v>
      </c>
      <c r="K166">
        <v>-132</v>
      </c>
      <c r="L166">
        <v>0</v>
      </c>
      <c r="M166" s="3">
        <v>45350.333333333336</v>
      </c>
      <c r="N166" t="s">
        <v>3</v>
      </c>
      <c r="O166" s="1">
        <f t="shared" si="57"/>
        <v>45350</v>
      </c>
      <c r="P166">
        <f t="shared" si="58"/>
        <v>10</v>
      </c>
      <c r="Q166">
        <f t="shared" si="59"/>
        <v>0</v>
      </c>
    </row>
    <row r="167" spans="1:17" x14ac:dyDescent="0.3">
      <c r="A167">
        <v>509</v>
      </c>
      <c r="B167">
        <v>509</v>
      </c>
      <c r="C167">
        <v>213</v>
      </c>
      <c r="D167">
        <v>422</v>
      </c>
      <c r="E167">
        <v>851</v>
      </c>
      <c r="F167">
        <v>851</v>
      </c>
      <c r="G167">
        <v>0</v>
      </c>
      <c r="H167">
        <v>87</v>
      </c>
      <c r="I167">
        <v>6</v>
      </c>
      <c r="J167">
        <v>60</v>
      </c>
      <c r="K167">
        <v>-147</v>
      </c>
      <c r="L167">
        <v>0</v>
      </c>
      <c r="M167" s="3">
        <v>45350.375</v>
      </c>
      <c r="N167" t="s">
        <v>3</v>
      </c>
      <c r="O167" s="1">
        <f t="shared" si="57"/>
        <v>45350</v>
      </c>
      <c r="P167">
        <f t="shared" si="58"/>
        <v>11</v>
      </c>
      <c r="Q167">
        <f t="shared" si="59"/>
        <v>0</v>
      </c>
    </row>
    <row r="168" spans="1:17" x14ac:dyDescent="0.3">
      <c r="A168">
        <v>585</v>
      </c>
      <c r="B168">
        <v>585</v>
      </c>
      <c r="C168">
        <v>252</v>
      </c>
      <c r="D168">
        <v>488</v>
      </c>
      <c r="E168">
        <v>871</v>
      </c>
      <c r="F168">
        <v>871</v>
      </c>
      <c r="G168">
        <v>0</v>
      </c>
      <c r="H168">
        <v>96</v>
      </c>
      <c r="I168">
        <v>7</v>
      </c>
      <c r="J168">
        <v>56</v>
      </c>
      <c r="K168">
        <v>-164</v>
      </c>
      <c r="L168">
        <v>0</v>
      </c>
      <c r="M168" s="3">
        <v>45350.416666666664</v>
      </c>
      <c r="N168" t="s">
        <v>3</v>
      </c>
      <c r="O168" s="1">
        <f t="shared" si="57"/>
        <v>45350</v>
      </c>
      <c r="P168">
        <f t="shared" si="58"/>
        <v>12</v>
      </c>
      <c r="Q168">
        <f t="shared" si="59"/>
        <v>0</v>
      </c>
    </row>
    <row r="169" spans="1:17" x14ac:dyDescent="0.3">
      <c r="A169">
        <v>602</v>
      </c>
      <c r="B169">
        <v>602</v>
      </c>
      <c r="C169">
        <v>261</v>
      </c>
      <c r="D169">
        <v>495</v>
      </c>
      <c r="E169">
        <v>854</v>
      </c>
      <c r="F169">
        <v>854</v>
      </c>
      <c r="G169">
        <v>0</v>
      </c>
      <c r="H169">
        <v>107</v>
      </c>
      <c r="I169">
        <v>8</v>
      </c>
      <c r="J169">
        <v>55</v>
      </c>
      <c r="K169">
        <v>178</v>
      </c>
      <c r="L169">
        <v>0</v>
      </c>
      <c r="M169" s="3">
        <v>45350.458333333336</v>
      </c>
      <c r="N169" t="s">
        <v>3</v>
      </c>
      <c r="O169" s="1">
        <f t="shared" si="57"/>
        <v>45350</v>
      </c>
      <c r="P169">
        <f t="shared" si="58"/>
        <v>13</v>
      </c>
      <c r="Q169">
        <f t="shared" si="59"/>
        <v>0</v>
      </c>
    </row>
  </sheetData>
  <autoFilter ref="A1:Q169" xr:uid="{00000000-0001-0000-0100-000000000000}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GetWeatherSiteForecast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Ionita</dc:creator>
  <cp:lastModifiedBy>Andrei Ionita</cp:lastModifiedBy>
  <dcterms:created xsi:type="dcterms:W3CDTF">2023-03-06T11:50:13Z</dcterms:created>
  <dcterms:modified xsi:type="dcterms:W3CDTF">2024-02-21T11:16:05Z</dcterms:modified>
</cp:coreProperties>
</file>